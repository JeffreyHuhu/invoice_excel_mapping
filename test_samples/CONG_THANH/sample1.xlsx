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jeffrey.hu\Desktop\越南sample\VN-05 sample\"/>
    </mc:Choice>
  </mc:AlternateContent>
  <xr:revisionPtr revIDLastSave="0" documentId="13_ncr:1_{0BB07939-3918-4845-A6BF-5440E41135E3}" xr6:coauthVersionLast="47" xr6:coauthVersionMax="47" xr10:uidLastSave="{00000000-0000-0000-0000-000000000000}"/>
  <bookViews>
    <workbookView xWindow="960" yWindow="1110" windowWidth="34935" windowHeight="16680" xr2:uid="{00000000-000D-0000-FFFF-FFFF00000000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4" i="1" l="1"/>
  <c r="E24" i="1"/>
  <c r="D24" i="1"/>
  <c r="F18" i="1"/>
  <c r="F12" i="1"/>
  <c r="F23" i="1" l="1"/>
  <c r="F22" i="1"/>
  <c r="F21" i="1"/>
  <c r="F20" i="1"/>
  <c r="F19" i="1"/>
</calcChain>
</file>

<file path=xl/sharedStrings.xml><?xml version="1.0" encoding="utf-8"?>
<sst xmlns="http://schemas.openxmlformats.org/spreadsheetml/2006/main" count="64" uniqueCount="41">
  <si>
    <t>Địa chỉ: Số 10 , Đường 15, Khu phố 30, Phường Linh Xuân, Tp.Hồ Chí Minh, Việt Nam</t>
  </si>
  <si>
    <t>Mã số thuế: 0301434547</t>
  </si>
  <si>
    <t>CÔNG TY TRÁCH NHIỆM HỮU HẠN POU SUNG VIỆT NAM</t>
  </si>
  <si>
    <t>Địa chỉ: Khu Công Nghiệp Bàu Xéo, Xã An Viễn, TP. Đồng Nai, Việt Nam</t>
  </si>
  <si>
    <t>Mã số Thuế: 3600710751</t>
  </si>
  <si>
    <t>INVOICE LIST</t>
  </si>
  <si>
    <t xml:space="preserve">Nang ha </t>
  </si>
  <si>
    <t>PSVY0810103351</t>
  </si>
  <si>
    <t>308935774620</t>
  </si>
  <si>
    <t>GAOU6533230</t>
  </si>
  <si>
    <t>PSVY0810103385</t>
  </si>
  <si>
    <t>308935778010</t>
  </si>
  <si>
    <t>PSVY0810103441</t>
  </si>
  <si>
    <t>308935814850</t>
  </si>
  <si>
    <t>PSVY0810103442</t>
  </si>
  <si>
    <t>308935815110</t>
  </si>
  <si>
    <t>PSVY0810103443</t>
  </si>
  <si>
    <t>308935839940</t>
  </si>
  <si>
    <t>PSVY0810103444</t>
  </si>
  <si>
    <t>308935845760</t>
  </si>
  <si>
    <t>230647</t>
  </si>
  <si>
    <t xml:space="preserve">   POUSUNG</t>
  </si>
  <si>
    <t>CONG THANH 25/09/2026</t>
  </si>
  <si>
    <t xml:space="preserve">   Manager</t>
  </si>
  <si>
    <t>TL DIRECTOR</t>
  </si>
  <si>
    <t xml:space="preserve">       AC.DEP</t>
  </si>
  <si>
    <t>LE THI HONG THAM</t>
  </si>
  <si>
    <r>
      <rPr>
        <b/>
        <sz val="14"/>
        <color theme="1"/>
        <rFont val="Times New Roman"/>
        <family val="1"/>
      </rPr>
      <t>Form : 16/09- 25/09/2026. No: 09CH-2/2026</t>
    </r>
    <r>
      <rPr>
        <b/>
        <sz val="12"/>
        <color theme="1"/>
        <rFont val="Times New Roman"/>
        <family val="1"/>
      </rPr>
      <t xml:space="preserve">
</t>
    </r>
    <r>
      <rPr>
        <b/>
        <sz val="11"/>
        <color theme="1"/>
        <rFont val="Times New Roman"/>
        <family val="1"/>
      </rPr>
      <t>SERIAL No: 1C26TCT ,INVOICE No: 00000 , 00/00/2026</t>
    </r>
  </si>
  <si>
    <t>Ngày</t>
    <phoneticPr fontId="12" type="noConversion"/>
  </si>
  <si>
    <t>Số Hóa đơn</t>
    <phoneticPr fontId="12" type="noConversion"/>
  </si>
  <si>
    <t xml:space="preserve">Nang ha </t>
    <phoneticPr fontId="12" type="noConversion"/>
  </si>
  <si>
    <t>Tên Đơn vị mua hàng:</t>
    <phoneticPr fontId="12" type="noConversion"/>
  </si>
  <si>
    <t>Tên Đơn vị bán hàng: CÔNG TY TNHH DỊCH VỤ GIAO NHẬN VẬN TẢI VÀ THƯƠNG MẠI CÔNG THÀNH</t>
    <phoneticPr fontId="12" type="noConversion"/>
  </si>
  <si>
    <t>Nội dung</t>
    <phoneticPr fontId="12" type="noConversion"/>
  </si>
  <si>
    <t>Tiền trước thuế</t>
    <phoneticPr fontId="12" type="noConversion"/>
  </si>
  <si>
    <t>VAT</t>
    <phoneticPr fontId="12" type="noConversion"/>
  </si>
  <si>
    <t>INV</t>
    <phoneticPr fontId="12" type="noConversion"/>
  </si>
  <si>
    <t>Tờ khai</t>
    <phoneticPr fontId="12" type="noConversion"/>
  </si>
  <si>
    <t>CONT</t>
    <phoneticPr fontId="12" type="noConversion"/>
  </si>
  <si>
    <t>TỔNG CỘNG</t>
    <phoneticPr fontId="12" type="noConversion"/>
  </si>
  <si>
    <t>TOTAL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</si>
</sst>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_(* #,##0.00_);_(* \(#,##0.00\);_(* &quot;-&quot;??_);_(@_)"/>
    <numFmt numFmtId="177" formatCode="_-* #,##0_-;\-* #,##0_-;_-* &quot;-&quot;??_-;_-@_-"/>
    <numFmt numFmtId="178" formatCode="[$-409]mmm\-yy;@"/>
    <numFmt numFmtId="179" formatCode="_(* #,##0_);_(* \(#,##0\);_(* &quot;-&quot;??_);_(@_)"/>
    <numFmt numFmtId="180" formatCode="00000000"/>
    <numFmt numFmtId="181" formatCode="00000"/>
    <numFmt numFmtId="182" formatCode="_-* #,##0_-;\-* #,##0_-;_-* \-??_-;_-@_-"/>
  </numFmts>
  <fonts count="13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10"/>
      <name val="VNI-Times"/>
    </font>
    <font>
      <sz val="10"/>
      <name val="Arial"/>
      <family val="2"/>
    </font>
    <font>
      <sz val="12"/>
      <name val="新細明體"/>
      <family val="1"/>
      <charset val="136"/>
    </font>
    <font>
      <sz val="10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b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 style="mediumDashDotDot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10">
    <xf numFmtId="0" fontId="0" fillId="0" borderId="0"/>
    <xf numFmtId="0" fontId="2" fillId="0" borderId="0"/>
    <xf numFmtId="176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0" fontId="2" fillId="0" borderId="0"/>
    <xf numFmtId="0" fontId="3" fillId="0" borderId="0"/>
    <xf numFmtId="0" fontId="4" fillId="0" borderId="0"/>
    <xf numFmtId="176" fontId="3" fillId="0" borderId="0" applyFont="0" applyFill="0" applyBorder="0" applyAlignment="0" applyProtection="0"/>
    <xf numFmtId="0" fontId="1" fillId="0" borderId="0"/>
    <xf numFmtId="0" fontId="1" fillId="0" borderId="0"/>
  </cellStyleXfs>
  <cellXfs count="46">
    <xf numFmtId="0" fontId="0" fillId="0" borderId="0" xfId="0"/>
    <xf numFmtId="0" fontId="5" fillId="0" borderId="7" xfId="0" applyFont="1" applyFill="1" applyBorder="1" applyAlignment="1">
      <alignment horizontal="center" vertical="center"/>
    </xf>
    <xf numFmtId="181" fontId="5" fillId="0" borderId="7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1" applyFont="1" applyFill="1" applyAlignment="1">
      <alignment horizontal="center"/>
    </xf>
    <xf numFmtId="0" fontId="5" fillId="0" borderId="0" xfId="1" applyFont="1" applyFill="1" applyBorder="1"/>
    <xf numFmtId="177" fontId="7" fillId="0" borderId="0" xfId="3" applyNumberFormat="1" applyFont="1" applyFill="1" applyBorder="1" applyAlignment="1">
      <alignment horizontal="left" vertical="center"/>
    </xf>
    <xf numFmtId="0" fontId="5" fillId="0" borderId="0" xfId="1" applyFont="1" applyFill="1" applyAlignment="1">
      <alignment horizontal="left"/>
    </xf>
    <xf numFmtId="0" fontId="5" fillId="0" borderId="0" xfId="1" applyFont="1" applyFill="1" applyBorder="1" applyAlignment="1">
      <alignment horizontal="left"/>
    </xf>
    <xf numFmtId="0" fontId="5" fillId="0" borderId="1" xfId="1" applyFont="1" applyFill="1" applyBorder="1" applyAlignment="1">
      <alignment horizontal="left"/>
    </xf>
    <xf numFmtId="0" fontId="5" fillId="0" borderId="1" xfId="1" applyFont="1" applyFill="1" applyBorder="1" applyAlignment="1">
      <alignment horizontal="center"/>
    </xf>
    <xf numFmtId="177" fontId="8" fillId="0" borderId="0" xfId="3" applyNumberFormat="1" applyFont="1" applyFill="1" applyBorder="1" applyAlignment="1">
      <alignment horizontal="left" vertical="center"/>
    </xf>
    <xf numFmtId="0" fontId="5" fillId="0" borderId="0" xfId="5" applyFont="1" applyFill="1"/>
    <xf numFmtId="0" fontId="5" fillId="0" borderId="0" xfId="6" applyFont="1" applyFill="1"/>
    <xf numFmtId="0" fontId="5" fillId="0" borderId="3" xfId="6" applyFont="1" applyFill="1" applyBorder="1" applyAlignment="1">
      <alignment horizontal="center" wrapText="1"/>
    </xf>
    <xf numFmtId="0" fontId="5" fillId="0" borderId="4" xfId="6" applyFont="1" applyFill="1" applyBorder="1" applyAlignment="1">
      <alignment horizontal="center" wrapText="1"/>
    </xf>
    <xf numFmtId="178" fontId="5" fillId="0" borderId="4" xfId="6" applyNumberFormat="1" applyFont="1" applyFill="1" applyBorder="1" applyAlignment="1">
      <alignment horizontal="center" wrapText="1"/>
    </xf>
    <xf numFmtId="179" fontId="5" fillId="0" borderId="4" xfId="7" applyNumberFormat="1" applyFont="1" applyFill="1" applyBorder="1" applyAlignment="1" applyProtection="1">
      <alignment horizontal="center" wrapText="1"/>
    </xf>
    <xf numFmtId="179" fontId="5" fillId="0" borderId="5" xfId="7" applyNumberFormat="1" applyFont="1" applyFill="1" applyBorder="1" applyAlignment="1" applyProtection="1">
      <alignment horizontal="center" wrapText="1"/>
    </xf>
    <xf numFmtId="182" fontId="10" fillId="0" borderId="10" xfId="6" applyNumberFormat="1" applyFont="1" applyFill="1" applyBorder="1" applyAlignment="1">
      <alignment horizontal="center"/>
    </xf>
    <xf numFmtId="179" fontId="10" fillId="0" borderId="10" xfId="6" applyNumberFormat="1" applyFont="1" applyFill="1" applyBorder="1" applyAlignment="1">
      <alignment horizontal="center"/>
    </xf>
    <xf numFmtId="182" fontId="10" fillId="0" borderId="11" xfId="6" applyNumberFormat="1" applyFont="1" applyFill="1" applyBorder="1" applyAlignment="1">
      <alignment horizontal="center"/>
    </xf>
    <xf numFmtId="0" fontId="11" fillId="0" borderId="0" xfId="6" applyFont="1" applyFill="1"/>
    <xf numFmtId="0" fontId="5" fillId="0" borderId="0" xfId="6" applyFont="1" applyFill="1" applyBorder="1" applyAlignment="1">
      <alignment horizontal="center"/>
    </xf>
    <xf numFmtId="182" fontId="5" fillId="0" borderId="0" xfId="6" applyNumberFormat="1" applyFont="1" applyFill="1" applyBorder="1" applyAlignment="1">
      <alignment horizontal="center"/>
    </xf>
    <xf numFmtId="3" fontId="11" fillId="0" borderId="0" xfId="5" applyNumberFormat="1" applyFont="1" applyFill="1" applyBorder="1" applyAlignment="1"/>
    <xf numFmtId="14" fontId="11" fillId="0" borderId="0" xfId="5" applyNumberFormat="1" applyFont="1" applyFill="1" applyBorder="1" applyAlignment="1">
      <alignment horizontal="center"/>
    </xf>
    <xf numFmtId="0" fontId="11" fillId="0" borderId="0" xfId="5" applyFont="1" applyFill="1"/>
    <xf numFmtId="3" fontId="11" fillId="0" borderId="0" xfId="5" applyNumberFormat="1" applyFont="1" applyFill="1" applyBorder="1" applyAlignment="1">
      <alignment horizontal="center"/>
    </xf>
    <xf numFmtId="14" fontId="11" fillId="0" borderId="0" xfId="5" applyNumberFormat="1" applyFont="1" applyFill="1" applyAlignment="1">
      <alignment horizontal="center"/>
    </xf>
    <xf numFmtId="0" fontId="11" fillId="0" borderId="0" xfId="5" applyFont="1" applyFill="1" applyAlignment="1">
      <alignment horizontal="center"/>
    </xf>
    <xf numFmtId="179" fontId="11" fillId="0" borderId="0" xfId="3" applyNumberFormat="1" applyFont="1" applyFill="1" applyAlignment="1">
      <alignment horizontal="center"/>
    </xf>
    <xf numFmtId="179" fontId="11" fillId="0" borderId="0" xfId="3" applyNumberFormat="1" applyFont="1" applyFill="1" applyAlignment="1"/>
    <xf numFmtId="0" fontId="5" fillId="0" borderId="0" xfId="6" applyFont="1" applyFill="1" applyAlignment="1">
      <alignment horizontal="center"/>
    </xf>
    <xf numFmtId="178" fontId="5" fillId="0" borderId="0" xfId="6" applyNumberFormat="1" applyFont="1" applyFill="1" applyAlignment="1">
      <alignment horizontal="center"/>
    </xf>
    <xf numFmtId="179" fontId="5" fillId="0" borderId="0" xfId="7" applyNumberFormat="1" applyFont="1" applyFill="1" applyBorder="1" applyAlignment="1" applyProtection="1">
      <alignment horizontal="center"/>
    </xf>
    <xf numFmtId="179" fontId="5" fillId="0" borderId="0" xfId="3" applyNumberFormat="1" applyFont="1" applyFill="1" applyAlignment="1">
      <alignment horizontal="center"/>
    </xf>
    <xf numFmtId="179" fontId="5" fillId="0" borderId="7" xfId="7" applyNumberFormat="1" applyFont="1" applyFill="1" applyBorder="1" applyAlignment="1" applyProtection="1">
      <alignment horizontal="center" wrapText="1"/>
    </xf>
    <xf numFmtId="0" fontId="5" fillId="0" borderId="8" xfId="0" applyFont="1" applyFill="1" applyBorder="1" applyAlignment="1">
      <alignment horizontal="center" vertical="center"/>
    </xf>
    <xf numFmtId="16" fontId="5" fillId="0" borderId="6" xfId="6" quotePrefix="1" applyNumberFormat="1" applyFont="1" applyFill="1" applyBorder="1" applyAlignment="1">
      <alignment horizontal="center" wrapText="1"/>
    </xf>
    <xf numFmtId="180" fontId="5" fillId="0" borderId="7" xfId="7" quotePrefix="1" applyNumberFormat="1" applyFont="1" applyFill="1" applyBorder="1" applyAlignment="1" applyProtection="1">
      <alignment horizontal="center" wrapText="1"/>
    </xf>
    <xf numFmtId="180" fontId="5" fillId="0" borderId="7" xfId="7" applyNumberFormat="1" applyFont="1" applyFill="1" applyBorder="1" applyAlignment="1" applyProtection="1">
      <alignment horizontal="center" wrapText="1"/>
    </xf>
    <xf numFmtId="0" fontId="6" fillId="0" borderId="0" xfId="4" applyFont="1" applyFill="1" applyBorder="1" applyAlignment="1">
      <alignment horizontal="center" wrapText="1"/>
    </xf>
    <xf numFmtId="0" fontId="9" fillId="0" borderId="2" xfId="6" applyFont="1" applyFill="1" applyBorder="1" applyAlignment="1">
      <alignment horizontal="center"/>
    </xf>
    <xf numFmtId="0" fontId="11" fillId="0" borderId="9" xfId="6" applyFont="1" applyFill="1" applyBorder="1" applyAlignment="1">
      <alignment horizontal="center"/>
    </xf>
    <xf numFmtId="0" fontId="11" fillId="0" borderId="10" xfId="6" applyFont="1" applyFill="1" applyBorder="1" applyAlignment="1">
      <alignment horizontal="center"/>
    </xf>
  </cellXfs>
  <cellStyles count="10">
    <cellStyle name="AutoFormat Options 2" xfId="5" xr:uid="{00000000-0005-0000-0000-000000000000}"/>
    <cellStyle name="Comma 10" xfId="2" xr:uid="{00000000-0005-0000-0000-000001000000}"/>
    <cellStyle name="Comma 2 2" xfId="3" xr:uid="{00000000-0005-0000-0000-000002000000}"/>
    <cellStyle name="Comma 5" xfId="7" xr:uid="{00000000-0005-0000-0000-000003000000}"/>
    <cellStyle name="Normal 100" xfId="9" xr:uid="{00000000-0005-0000-0000-000005000000}"/>
    <cellStyle name="Normal 94" xfId="8" xr:uid="{00000000-0005-0000-0000-000006000000}"/>
    <cellStyle name="Normal_BANG KE HOA DON KH" xfId="6" xr:uid="{00000000-0005-0000-0000-000007000000}"/>
    <cellStyle name="Normal_Inband fee 2003" xfId="4" xr:uid="{00000000-0005-0000-0000-000009000000}"/>
    <cellStyle name="Normal_SEA CT T3 2010" xfId="1" xr:uid="{00000000-0005-0000-0000-00000A000000}"/>
    <cellStyle name="一般" xfId="0" builtinId="0"/>
  </cellStyles>
  <dxfs count="7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0</xdr:colOff>
      <xdr:row>1</xdr:row>
      <xdr:rowOff>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>
          <a:grpSpLocks/>
        </xdr:cNvGrpSpPr>
      </xdr:nvGrpSpPr>
      <xdr:grpSpPr bwMode="auto">
        <a:xfrm>
          <a:off x="0" y="0"/>
          <a:ext cx="6048375" cy="895350"/>
          <a:chOff x="628650" y="161925"/>
          <a:chExt cx="11068050" cy="904875"/>
        </a:xfrm>
      </xdr:grpSpPr>
      <xdr:grpSp>
        <xdr:nvGrpSpPr>
          <xdr:cNvPr id="3" name="Group 6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pSpPr>
            <a:grpSpLocks/>
          </xdr:cNvGrpSpPr>
        </xdr:nvGrpSpPr>
        <xdr:grpSpPr bwMode="auto">
          <a:xfrm>
            <a:off x="628650" y="171450"/>
            <a:ext cx="11068050" cy="876300"/>
            <a:chOff x="731" y="1134"/>
            <a:chExt cx="10440" cy="1260"/>
          </a:xfrm>
        </xdr:grpSpPr>
        <xdr:pic>
          <xdr:nvPicPr>
            <xdr:cNvPr id="5" name="Pictur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939" y="1134"/>
              <a:ext cx="10232" cy="1260"/>
            </a:xfrm>
            <a:prstGeom prst="rect">
              <a:avLst/>
            </a:prstGeom>
            <a:solidFill>
              <a:srgbClr val="993300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6" name="Picture 6">
              <a:extLst>
                <a:ext uri="{FF2B5EF4-FFF2-40B4-BE49-F238E27FC236}">
                  <a16:creationId xmlns:a16="http://schemas.microsoft.com/office/drawing/2014/main" id="{00000000-0008-0000-0000-000006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2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731" y="1134"/>
              <a:ext cx="1545" cy="1260"/>
            </a:xfrm>
            <a:prstGeom prst="rect">
              <a:avLst/>
            </a:prstGeom>
            <a:solidFill>
              <a:srgbClr val="993300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</xdr:grpSp>
      <xdr:pic>
        <xdr:nvPicPr>
          <xdr:cNvPr id="4" name="Picture 734">
            <a:extLst>
              <a:ext uri="{FF2B5EF4-FFF2-40B4-BE49-F238E27FC236}">
                <a16:creationId xmlns:a16="http://schemas.microsoft.com/office/drawing/2014/main" id="{00000000-0008-0000-0000-000004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47700" y="161925"/>
            <a:ext cx="1714329" cy="90487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809625</xdr:colOff>
      <xdr:row>1</xdr:row>
      <xdr:rowOff>0</xdr:rowOff>
    </xdr:to>
    <xdr:grpSp>
      <xdr:nvGrpSpPr>
        <xdr:cNvPr id="7" name="Group 1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pSpPr>
          <a:grpSpLocks/>
        </xdr:cNvGrpSpPr>
      </xdr:nvGrpSpPr>
      <xdr:grpSpPr bwMode="auto">
        <a:xfrm>
          <a:off x="0" y="0"/>
          <a:ext cx="8582025" cy="895350"/>
          <a:chOff x="628650" y="161925"/>
          <a:chExt cx="11068050" cy="904875"/>
        </a:xfrm>
      </xdr:grpSpPr>
      <xdr:grpSp>
        <xdr:nvGrpSpPr>
          <xdr:cNvPr id="8" name="Group 6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GrpSpPr>
            <a:grpSpLocks/>
          </xdr:cNvGrpSpPr>
        </xdr:nvGrpSpPr>
        <xdr:grpSpPr bwMode="auto">
          <a:xfrm>
            <a:off x="628650" y="171450"/>
            <a:ext cx="11068050" cy="876300"/>
            <a:chOff x="731" y="1134"/>
            <a:chExt cx="10440" cy="1260"/>
          </a:xfrm>
        </xdr:grpSpPr>
        <xdr:pic>
          <xdr:nvPicPr>
            <xdr:cNvPr id="10" name="Picture 5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939" y="1134"/>
              <a:ext cx="10232" cy="1260"/>
            </a:xfrm>
            <a:prstGeom prst="rect">
              <a:avLst/>
            </a:prstGeom>
            <a:solidFill>
              <a:srgbClr val="993300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pic>
          <xdr:nvPicPr>
            <xdr:cNvPr id="11" name="Picture 6">
              <a:extLst>
                <a:ext uri="{FF2B5EF4-FFF2-40B4-BE49-F238E27FC236}">
                  <a16:creationId xmlns:a16="http://schemas.microsoft.com/office/drawing/2014/main" id="{00000000-0008-0000-0000-00000B000000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4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731" y="1134"/>
              <a:ext cx="1545" cy="1260"/>
            </a:xfrm>
            <a:prstGeom prst="rect">
              <a:avLst/>
            </a:prstGeom>
            <a:solidFill>
              <a:srgbClr val="993300"/>
            </a:solidFill>
            <a:ln>
              <a:noFill/>
            </a:ln>
            <a:extLs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</xdr:grpSp>
      <xdr:pic>
        <xdr:nvPicPr>
          <xdr:cNvPr id="9" name="Picture 734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47700" y="161925"/>
            <a:ext cx="1714329" cy="904875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workbookViewId="0">
      <selection activeCell="K29" sqref="K29"/>
    </sheetView>
  </sheetViews>
  <sheetFormatPr defaultColWidth="11.5703125" defaultRowHeight="28.5" customHeight="1"/>
  <cols>
    <col min="1" max="1" width="11.28515625" style="13" customWidth="1"/>
    <col min="2" max="2" width="12.42578125" style="33" customWidth="1"/>
    <col min="3" max="3" width="16.85546875" style="34" customWidth="1"/>
    <col min="4" max="4" width="17.85546875" style="35" customWidth="1"/>
    <col min="5" max="6" width="16.140625" style="35" customWidth="1"/>
    <col min="7" max="7" width="14.28515625" style="33" customWidth="1"/>
    <col min="8" max="8" width="11.5703125" style="33" customWidth="1"/>
    <col min="9" max="9" width="20.28515625" style="36" customWidth="1"/>
    <col min="10" max="16384" width="11.5703125" style="13"/>
  </cols>
  <sheetData>
    <row r="1" spans="1:9" s="5" customFormat="1" ht="70.5" customHeight="1">
      <c r="A1" s="4"/>
      <c r="B1" s="4"/>
      <c r="C1" s="4"/>
      <c r="D1" s="4"/>
      <c r="E1" s="4"/>
      <c r="F1" s="4"/>
      <c r="G1" s="4"/>
      <c r="H1" s="4"/>
      <c r="I1" s="4"/>
    </row>
    <row r="2" spans="1:9" s="8" customFormat="1" ht="12.95" customHeight="1">
      <c r="A2" s="6" t="s">
        <v>32</v>
      </c>
      <c r="B2" s="7"/>
      <c r="C2" s="7"/>
      <c r="D2" s="7"/>
      <c r="E2" s="7"/>
      <c r="F2" s="7"/>
      <c r="G2" s="4"/>
      <c r="H2" s="4"/>
      <c r="I2" s="4"/>
    </row>
    <row r="3" spans="1:9" s="8" customFormat="1" ht="12.95" customHeight="1">
      <c r="A3" s="6" t="s">
        <v>0</v>
      </c>
      <c r="B3" s="7"/>
      <c r="C3" s="7"/>
      <c r="D3" s="7"/>
      <c r="E3" s="7"/>
      <c r="F3" s="7"/>
      <c r="G3" s="4"/>
      <c r="H3" s="4"/>
      <c r="I3" s="4"/>
    </row>
    <row r="4" spans="1:9" s="8" customFormat="1" ht="12.95" customHeight="1">
      <c r="A4" s="6" t="s">
        <v>1</v>
      </c>
      <c r="B4" s="7"/>
      <c r="C4" s="7"/>
      <c r="D4" s="7"/>
      <c r="E4" s="7"/>
      <c r="F4" s="7"/>
      <c r="G4" s="4"/>
      <c r="H4" s="4"/>
      <c r="I4" s="4"/>
    </row>
    <row r="5" spans="1:9" s="8" customFormat="1" ht="7.5" customHeight="1" thickBot="1">
      <c r="A5" s="9"/>
      <c r="B5" s="9"/>
      <c r="C5" s="9"/>
      <c r="D5" s="9"/>
      <c r="E5" s="9"/>
      <c r="F5" s="9"/>
      <c r="G5" s="10"/>
      <c r="H5" s="10"/>
      <c r="I5" s="10"/>
    </row>
    <row r="6" spans="1:9" s="8" customFormat="1" ht="16.5">
      <c r="A6" s="6" t="s">
        <v>31</v>
      </c>
      <c r="B6" s="7"/>
      <c r="C6" s="11" t="s">
        <v>2</v>
      </c>
      <c r="D6" s="7"/>
      <c r="E6" s="7"/>
      <c r="F6" s="7"/>
      <c r="G6" s="4"/>
      <c r="H6" s="4"/>
      <c r="I6" s="4"/>
    </row>
    <row r="7" spans="1:9" s="8" customFormat="1" ht="12.95" customHeight="1">
      <c r="A7" s="6" t="s">
        <v>3</v>
      </c>
      <c r="B7" s="7"/>
      <c r="C7" s="7"/>
      <c r="D7" s="7"/>
      <c r="E7" s="7"/>
      <c r="F7" s="7"/>
      <c r="G7" s="4"/>
      <c r="H7" s="4"/>
      <c r="I7" s="4"/>
    </row>
    <row r="8" spans="1:9" s="8" customFormat="1" ht="12.95" customHeight="1">
      <c r="A8" s="6" t="s">
        <v>4</v>
      </c>
      <c r="B8" s="7"/>
      <c r="C8" s="7"/>
      <c r="D8" s="7"/>
      <c r="E8" s="7"/>
      <c r="F8" s="7"/>
      <c r="G8" s="4"/>
      <c r="H8" s="4"/>
      <c r="I8" s="4"/>
    </row>
    <row r="9" spans="1:9" s="12" customFormat="1" ht="42" customHeight="1">
      <c r="A9" s="42" t="s">
        <v>27</v>
      </c>
      <c r="B9" s="42"/>
      <c r="C9" s="42"/>
      <c r="D9" s="42"/>
      <c r="E9" s="42"/>
      <c r="F9" s="42"/>
      <c r="G9" s="42"/>
      <c r="H9" s="42"/>
      <c r="I9" s="42"/>
    </row>
    <row r="10" spans="1:9" ht="22.5" customHeight="1" thickBot="1">
      <c r="A10" s="43" t="s">
        <v>5</v>
      </c>
      <c r="B10" s="43"/>
      <c r="C10" s="43"/>
      <c r="D10" s="43"/>
      <c r="E10" s="43"/>
      <c r="F10" s="43"/>
      <c r="G10" s="43"/>
      <c r="H10" s="43"/>
      <c r="I10" s="43"/>
    </row>
    <row r="11" spans="1:9" ht="36.75" customHeight="1" thickTop="1">
      <c r="A11" s="14" t="s">
        <v>28</v>
      </c>
      <c r="B11" s="15" t="s">
        <v>29</v>
      </c>
      <c r="C11" s="16" t="s">
        <v>33</v>
      </c>
      <c r="D11" s="17" t="s">
        <v>34</v>
      </c>
      <c r="E11" s="17" t="s">
        <v>35</v>
      </c>
      <c r="F11" s="17" t="s">
        <v>40</v>
      </c>
      <c r="G11" s="17" t="s">
        <v>36</v>
      </c>
      <c r="H11" s="17" t="s">
        <v>37</v>
      </c>
      <c r="I11" s="18" t="s">
        <v>38</v>
      </c>
    </row>
    <row r="12" spans="1:9" ht="12" customHeight="1">
      <c r="A12" s="39">
        <v>46274</v>
      </c>
      <c r="B12" s="41">
        <v>221014</v>
      </c>
      <c r="C12" s="37" t="s">
        <v>30</v>
      </c>
      <c r="D12" s="37">
        <v>1500000</v>
      </c>
      <c r="E12" s="37">
        <v>120000</v>
      </c>
      <c r="F12" s="37">
        <f>+D12+E12</f>
        <v>1620000</v>
      </c>
      <c r="G12" s="1" t="s">
        <v>7</v>
      </c>
      <c r="H12" s="2" t="s">
        <v>8</v>
      </c>
      <c r="I12" s="38" t="s">
        <v>9</v>
      </c>
    </row>
    <row r="13" spans="1:9" ht="12" customHeight="1">
      <c r="A13" s="39"/>
      <c r="B13" s="41"/>
      <c r="C13" s="37" t="s">
        <v>6</v>
      </c>
      <c r="D13" s="37"/>
      <c r="E13" s="37"/>
      <c r="F13" s="37"/>
      <c r="G13" s="1" t="s">
        <v>10</v>
      </c>
      <c r="H13" s="2" t="s">
        <v>11</v>
      </c>
      <c r="I13" s="38"/>
    </row>
    <row r="14" spans="1:9" ht="12" customHeight="1">
      <c r="A14" s="39"/>
      <c r="B14" s="41"/>
      <c r="C14" s="37" t="s">
        <v>6</v>
      </c>
      <c r="D14" s="37"/>
      <c r="E14" s="37"/>
      <c r="F14" s="37"/>
      <c r="G14" s="1" t="s">
        <v>12</v>
      </c>
      <c r="H14" s="2" t="s">
        <v>13</v>
      </c>
      <c r="I14" s="38"/>
    </row>
    <row r="15" spans="1:9" ht="12" customHeight="1">
      <c r="A15" s="39"/>
      <c r="B15" s="41"/>
      <c r="C15" s="37" t="s">
        <v>6</v>
      </c>
      <c r="D15" s="37"/>
      <c r="E15" s="37"/>
      <c r="F15" s="37"/>
      <c r="G15" s="1" t="s">
        <v>14</v>
      </c>
      <c r="H15" s="2" t="s">
        <v>15</v>
      </c>
      <c r="I15" s="38"/>
    </row>
    <row r="16" spans="1:9" ht="12" customHeight="1">
      <c r="A16" s="39"/>
      <c r="B16" s="41"/>
      <c r="C16" s="37" t="s">
        <v>6</v>
      </c>
      <c r="D16" s="37"/>
      <c r="E16" s="37"/>
      <c r="F16" s="37"/>
      <c r="G16" s="1" t="s">
        <v>16</v>
      </c>
      <c r="H16" s="2" t="s">
        <v>17</v>
      </c>
      <c r="I16" s="38"/>
    </row>
    <row r="17" spans="1:9" ht="12" customHeight="1">
      <c r="A17" s="39"/>
      <c r="B17" s="41"/>
      <c r="C17" s="37" t="s">
        <v>6</v>
      </c>
      <c r="D17" s="37"/>
      <c r="E17" s="37"/>
      <c r="F17" s="37"/>
      <c r="G17" s="1" t="s">
        <v>18</v>
      </c>
      <c r="H17" s="2" t="s">
        <v>19</v>
      </c>
      <c r="I17" s="38"/>
    </row>
    <row r="18" spans="1:9" ht="12" customHeight="1">
      <c r="A18" s="39">
        <v>46283</v>
      </c>
      <c r="B18" s="40" t="s">
        <v>20</v>
      </c>
      <c r="C18" s="37" t="s">
        <v>6</v>
      </c>
      <c r="D18" s="37">
        <v>1824074</v>
      </c>
      <c r="E18" s="37">
        <v>145926</v>
      </c>
      <c r="F18" s="37">
        <f>+D18+E18</f>
        <v>1970000</v>
      </c>
      <c r="G18" s="1" t="s">
        <v>7</v>
      </c>
      <c r="H18" s="2" t="s">
        <v>8</v>
      </c>
      <c r="I18" s="38" t="s">
        <v>9</v>
      </c>
    </row>
    <row r="19" spans="1:9" ht="12" customHeight="1">
      <c r="A19" s="39"/>
      <c r="B19" s="41"/>
      <c r="C19" s="37" t="s">
        <v>6</v>
      </c>
      <c r="D19" s="37"/>
      <c r="E19" s="37"/>
      <c r="F19" s="37">
        <f t="shared" ref="F18:F23" si="0">+D19+E19</f>
        <v>0</v>
      </c>
      <c r="G19" s="1" t="s">
        <v>10</v>
      </c>
      <c r="H19" s="2" t="s">
        <v>11</v>
      </c>
      <c r="I19" s="38"/>
    </row>
    <row r="20" spans="1:9" ht="12" customHeight="1">
      <c r="A20" s="39"/>
      <c r="B20" s="41"/>
      <c r="C20" s="37" t="s">
        <v>6</v>
      </c>
      <c r="D20" s="37"/>
      <c r="E20" s="37"/>
      <c r="F20" s="37">
        <f t="shared" si="0"/>
        <v>0</v>
      </c>
      <c r="G20" s="1" t="s">
        <v>12</v>
      </c>
      <c r="H20" s="2" t="s">
        <v>13</v>
      </c>
      <c r="I20" s="38"/>
    </row>
    <row r="21" spans="1:9" ht="12" customHeight="1">
      <c r="A21" s="39"/>
      <c r="B21" s="41"/>
      <c r="C21" s="37" t="s">
        <v>6</v>
      </c>
      <c r="D21" s="37"/>
      <c r="E21" s="37"/>
      <c r="F21" s="37">
        <f t="shared" si="0"/>
        <v>0</v>
      </c>
      <c r="G21" s="1" t="s">
        <v>14</v>
      </c>
      <c r="H21" s="2" t="s">
        <v>15</v>
      </c>
      <c r="I21" s="38"/>
    </row>
    <row r="22" spans="1:9" ht="12" customHeight="1">
      <c r="A22" s="39"/>
      <c r="B22" s="41"/>
      <c r="C22" s="37" t="s">
        <v>6</v>
      </c>
      <c r="D22" s="37"/>
      <c r="E22" s="37"/>
      <c r="F22" s="37">
        <f t="shared" si="0"/>
        <v>0</v>
      </c>
      <c r="G22" s="1" t="s">
        <v>16</v>
      </c>
      <c r="H22" s="2" t="s">
        <v>17</v>
      </c>
      <c r="I22" s="38"/>
    </row>
    <row r="23" spans="1:9" ht="12" customHeight="1">
      <c r="A23" s="39"/>
      <c r="B23" s="41"/>
      <c r="C23" s="37" t="s">
        <v>6</v>
      </c>
      <c r="D23" s="37"/>
      <c r="E23" s="37"/>
      <c r="F23" s="37">
        <f t="shared" si="0"/>
        <v>0</v>
      </c>
      <c r="G23" s="1" t="s">
        <v>18</v>
      </c>
      <c r="H23" s="2" t="s">
        <v>19</v>
      </c>
      <c r="I23" s="38"/>
    </row>
    <row r="24" spans="1:9" s="22" customFormat="1" ht="12" customHeight="1" thickBot="1">
      <c r="A24" s="44" t="s">
        <v>39</v>
      </c>
      <c r="B24" s="45"/>
      <c r="C24" s="45"/>
      <c r="D24" s="19">
        <f>SUM(D11:D23)</f>
        <v>3324074</v>
      </c>
      <c r="E24" s="20">
        <f>D24*8%</f>
        <v>265925.92</v>
      </c>
      <c r="F24" s="19">
        <f>+D24+E24</f>
        <v>3589999.92</v>
      </c>
      <c r="G24" s="19"/>
      <c r="H24" s="19"/>
      <c r="I24" s="21"/>
    </row>
    <row r="25" spans="1:9" ht="12" customHeight="1" thickTop="1">
      <c r="A25" s="23"/>
      <c r="B25" s="23"/>
      <c r="C25" s="23"/>
      <c r="D25" s="24"/>
      <c r="E25" s="24"/>
      <c r="F25" s="24"/>
      <c r="G25" s="24"/>
      <c r="H25" s="24"/>
      <c r="I25" s="3"/>
    </row>
    <row r="26" spans="1:9" s="27" customFormat="1" ht="12" customHeight="1">
      <c r="A26" s="25"/>
      <c r="B26" s="26" t="s">
        <v>21</v>
      </c>
      <c r="C26" s="25"/>
      <c r="E26" s="28"/>
      <c r="F26" s="25"/>
      <c r="H26" s="28" t="s">
        <v>22</v>
      </c>
      <c r="I26" s="3"/>
    </row>
    <row r="27" spans="1:9" s="27" customFormat="1" ht="12" customHeight="1">
      <c r="A27" s="29"/>
      <c r="B27" s="29" t="s">
        <v>23</v>
      </c>
      <c r="C27" s="30"/>
      <c r="D27" s="31"/>
      <c r="E27" s="28" t="s">
        <v>24</v>
      </c>
      <c r="F27" s="32"/>
      <c r="G27" s="30"/>
      <c r="H27" s="30" t="s">
        <v>25</v>
      </c>
      <c r="I27" s="3"/>
    </row>
    <row r="31" spans="1:9" ht="28.5" customHeight="1">
      <c r="H31" s="33" t="s">
        <v>26</v>
      </c>
    </row>
  </sheetData>
  <mergeCells count="17">
    <mergeCell ref="A24:C24"/>
    <mergeCell ref="A18:A23"/>
    <mergeCell ref="B18:B23"/>
    <mergeCell ref="C18:C23"/>
    <mergeCell ref="D18:D23"/>
    <mergeCell ref="E18:E23"/>
    <mergeCell ref="F18:F23"/>
    <mergeCell ref="I18:I23"/>
    <mergeCell ref="A9:I9"/>
    <mergeCell ref="A10:I10"/>
    <mergeCell ref="A12:A17"/>
    <mergeCell ref="B12:B17"/>
    <mergeCell ref="C12:C17"/>
    <mergeCell ref="D12:D17"/>
    <mergeCell ref="E12:E17"/>
    <mergeCell ref="F12:F17"/>
    <mergeCell ref="I12:I17"/>
  </mergeCells>
  <phoneticPr fontId="12" type="noConversion"/>
  <conditionalFormatting sqref="B1:B2 B4:B5">
    <cfRule type="duplicateValues" dxfId="6" priority="152" stopIfTrue="1"/>
  </conditionalFormatting>
  <conditionalFormatting sqref="B3">
    <cfRule type="duplicateValues" dxfId="5" priority="146" stopIfTrue="1"/>
    <cfRule type="duplicateValues" dxfId="4" priority="147" stopIfTrue="1"/>
  </conditionalFormatting>
  <conditionalFormatting sqref="B1:C2 B4:C5 C3">
    <cfRule type="duplicateValues" dxfId="3" priority="151" stopIfTrue="1"/>
  </conditionalFormatting>
  <conditionalFormatting sqref="B6:C6">
    <cfRule type="duplicateValues" dxfId="2" priority="148" stopIfTrue="1"/>
  </conditionalFormatting>
  <conditionalFormatting sqref="C1:C5">
    <cfRule type="duplicateValues" dxfId="1" priority="150" stopIfTrue="1"/>
  </conditionalFormatting>
  <conditionalFormatting sqref="C6">
    <cfRule type="duplicateValues" dxfId="0" priority="149" stopIfTrue="1"/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Jeffrey Hu 胡資誠</cp:lastModifiedBy>
  <dcterms:created xsi:type="dcterms:W3CDTF">2026-09-29T03:23:11Z</dcterms:created>
  <dcterms:modified xsi:type="dcterms:W3CDTF">2026-10-22T18:47:55Z</dcterms:modified>
</cp:coreProperties>
</file>