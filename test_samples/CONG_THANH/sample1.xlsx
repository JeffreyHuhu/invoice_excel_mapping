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jeffrey.hu\Desktop\越南sample\05-100008048 CTY TNHHDV GN VT VA TM CONG THANH-POUSUNG\VN-05 sample\"/>
    </mc:Choice>
  </mc:AlternateContent>
  <xr:revisionPtr revIDLastSave="0" documentId="13_ncr:1_{3F181940-F137-486B-B25A-D976E1685A01}" xr6:coauthVersionLast="47" xr6:coauthVersionMax="47" xr10:uidLastSave="{00000000-0000-0000-0000-000000000000}"/>
  <bookViews>
    <workbookView xWindow="15465" yWindow="-13620" windowWidth="24240" windowHeight="13020" xr2:uid="{00000000-000D-0000-FFFF-FFFF00000000}"/>
  </bookViews>
  <sheets>
    <sheet name="Sheet1" sheetId="1" r:id="rId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360" i="1" l="1"/>
  <c r="E360" i="1"/>
  <c r="F12" i="1"/>
  <c r="D360" i="1"/>
  <c r="F351" i="1"/>
  <c r="F352" i="1"/>
  <c r="F359" i="1"/>
  <c r="F358" i="1"/>
  <c r="F357" i="1"/>
  <c r="F344" i="1"/>
  <c r="F343" i="1" l="1"/>
  <c r="F342" i="1"/>
  <c r="F341" i="1"/>
  <c r="F340" i="1"/>
  <c r="F339" i="1"/>
  <c r="F336" i="1"/>
  <c r="F335" i="1"/>
  <c r="F334" i="1"/>
  <c r="F333" i="1"/>
  <c r="F332" i="1"/>
  <c r="F331" i="1"/>
  <c r="F330" i="1"/>
  <c r="F324" i="1"/>
  <c r="F323" i="1"/>
  <c r="F322" i="1"/>
  <c r="F321" i="1"/>
  <c r="F320" i="1"/>
  <c r="F319" i="1"/>
  <c r="F318" i="1"/>
  <c r="F317" i="1"/>
  <c r="F316" i="1"/>
  <c r="F315" i="1"/>
  <c r="F314" i="1"/>
  <c r="F313" i="1"/>
  <c r="F312" i="1"/>
  <c r="F311" i="1"/>
  <c r="F310" i="1"/>
  <c r="F309" i="1"/>
  <c r="F308" i="1"/>
  <c r="F307" i="1"/>
  <c r="F306" i="1"/>
  <c r="F302" i="1"/>
  <c r="F301" i="1"/>
  <c r="F300" i="1"/>
  <c r="F299" i="1"/>
  <c r="F298" i="1"/>
  <c r="F297" i="1"/>
  <c r="F296" i="1"/>
  <c r="F294" i="1"/>
  <c r="F292" i="1"/>
  <c r="F291" i="1"/>
  <c r="F290" i="1"/>
  <c r="F289" i="1"/>
  <c r="F288" i="1"/>
  <c r="F287" i="1"/>
  <c r="F286" i="1"/>
  <c r="F285" i="1"/>
  <c r="F284" i="1"/>
  <c r="F283" i="1"/>
  <c r="F280" i="1"/>
  <c r="F279" i="1"/>
  <c r="F278" i="1"/>
  <c r="F277" i="1"/>
  <c r="F276" i="1"/>
  <c r="F272" i="1"/>
  <c r="F271" i="1"/>
  <c r="F270" i="1"/>
  <c r="F269" i="1"/>
  <c r="F268" i="1"/>
  <c r="F267" i="1"/>
  <c r="F266" i="1"/>
  <c r="F265" i="1"/>
  <c r="F264" i="1"/>
  <c r="F263" i="1"/>
  <c r="F262" i="1"/>
  <c r="F261" i="1"/>
  <c r="F260" i="1"/>
  <c r="F248" i="1"/>
  <c r="F247" i="1"/>
  <c r="F246" i="1"/>
  <c r="F245" i="1"/>
  <c r="F242" i="1"/>
  <c r="F241" i="1"/>
  <c r="F240" i="1"/>
  <c r="F239" i="1"/>
  <c r="F238" i="1"/>
  <c r="F237" i="1"/>
  <c r="F236" i="1"/>
  <c r="F235" i="1"/>
  <c r="F234" i="1"/>
  <c r="F233" i="1"/>
  <c r="F232" i="1"/>
  <c r="F231" i="1"/>
  <c r="F230" i="1"/>
  <c r="F218" i="1"/>
  <c r="F217" i="1"/>
  <c r="F216" i="1"/>
  <c r="F215" i="1"/>
  <c r="F214" i="1"/>
  <c r="F213" i="1"/>
  <c r="F212" i="1"/>
  <c r="F211" i="1"/>
  <c r="F210" i="1"/>
  <c r="F202" i="1"/>
  <c r="F201" i="1"/>
  <c r="F200" i="1"/>
  <c r="F199" i="1"/>
  <c r="F198" i="1"/>
  <c r="F197" i="1"/>
  <c r="F196" i="1"/>
  <c r="F195" i="1"/>
  <c r="F194" i="1"/>
  <c r="F186" i="1"/>
  <c r="F185" i="1"/>
  <c r="F184" i="1"/>
  <c r="F183" i="1"/>
  <c r="F182" i="1"/>
  <c r="F181" i="1"/>
  <c r="F180" i="1"/>
  <c r="F179" i="1"/>
  <c r="F178" i="1"/>
  <c r="F177" i="1"/>
  <c r="F176" i="1"/>
  <c r="F175" i="1"/>
  <c r="F164" i="1"/>
  <c r="F163" i="1"/>
  <c r="F162" i="1"/>
  <c r="F161" i="1"/>
  <c r="F160" i="1"/>
  <c r="F159" i="1"/>
  <c r="F158" i="1"/>
  <c r="F157" i="1"/>
  <c r="F154" i="1"/>
  <c r="F153" i="1"/>
  <c r="F152" i="1"/>
  <c r="F151" i="1"/>
  <c r="F150" i="1"/>
  <c r="F149" i="1"/>
  <c r="F148" i="1"/>
  <c r="F147" i="1"/>
  <c r="F140" i="1"/>
  <c r="F139" i="1"/>
  <c r="F138" i="1"/>
  <c r="F137" i="1"/>
  <c r="F136" i="1"/>
  <c r="F135" i="1"/>
  <c r="F134" i="1"/>
  <c r="F133" i="1"/>
  <c r="F132" i="1"/>
  <c r="F131" i="1"/>
  <c r="F128" i="1"/>
  <c r="F127" i="1"/>
  <c r="F126" i="1"/>
  <c r="F125" i="1"/>
  <c r="F124" i="1"/>
  <c r="F123" i="1"/>
  <c r="F122" i="1"/>
  <c r="F120" i="1"/>
  <c r="F119" i="1"/>
  <c r="F118" i="1"/>
  <c r="F117" i="1"/>
  <c r="F114" i="1"/>
  <c r="F113" i="1"/>
  <c r="F112" i="1"/>
  <c r="F111" i="1"/>
  <c r="F110" i="1"/>
  <c r="F109" i="1"/>
  <c r="F108" i="1"/>
  <c r="F107" i="1"/>
  <c r="F100" i="1"/>
  <c r="F99" i="1"/>
  <c r="F98" i="1"/>
  <c r="F97" i="1"/>
  <c r="F96" i="1"/>
  <c r="F95" i="1"/>
  <c r="F92" i="1"/>
  <c r="F91" i="1"/>
  <c r="F90" i="1"/>
  <c r="F89" i="1"/>
  <c r="F88" i="1"/>
  <c r="F87" i="1"/>
  <c r="F86" i="1"/>
  <c r="F85" i="1"/>
  <c r="F84" i="1"/>
  <c r="F83" i="1"/>
  <c r="F82" i="1"/>
  <c r="F81" i="1"/>
  <c r="F70" i="1"/>
  <c r="F69" i="1"/>
  <c r="F68" i="1"/>
  <c r="F67" i="1"/>
  <c r="F66" i="1"/>
  <c r="F65" i="1"/>
  <c r="F60" i="1"/>
  <c r="F59" i="1"/>
  <c r="F58" i="1"/>
  <c r="F57" i="1"/>
  <c r="F56" i="1"/>
  <c r="F55" i="1"/>
  <c r="F54" i="1"/>
  <c r="F48" i="1"/>
  <c r="F47" i="1"/>
  <c r="F46" i="1"/>
  <c r="F45" i="1"/>
  <c r="F44" i="1"/>
  <c r="F43" i="1"/>
  <c r="F42" i="1"/>
  <c r="F41" i="1"/>
  <c r="F40" i="1"/>
  <c r="F39" i="1"/>
  <c r="F38" i="1"/>
  <c r="F37" i="1"/>
  <c r="F36" i="1"/>
  <c r="F24" i="1"/>
  <c r="F23" i="1"/>
  <c r="F22" i="1"/>
  <c r="F21" i="1"/>
  <c r="F20" i="1"/>
  <c r="F19" i="1"/>
  <c r="F18" i="1"/>
</calcChain>
</file>

<file path=xl/sharedStrings.xml><?xml version="1.0" encoding="utf-8"?>
<sst xmlns="http://schemas.openxmlformats.org/spreadsheetml/2006/main" count="1199" uniqueCount="486">
  <si>
    <t>Địa chỉ: Số 10 , Đường 15, Khu phố 30, Phường Linh Xuân, Tp.Hồ Chí Minh, Việt Nam</t>
  </si>
  <si>
    <t>Mã số thuế: 0301434547</t>
  </si>
  <si>
    <t>CÔNG TY TRÁCH NHIỆM HỮU HẠN POU SUNG VIỆT NAM</t>
  </si>
  <si>
    <t>Địa chỉ: Khu Công Nghiệp Bàu Xéo, Xã An Viễn, TP. Đồng Nai, Việt Nam</t>
  </si>
  <si>
    <t>Mã số Thuế: 3600710751</t>
  </si>
  <si>
    <t>INVOICE LIST</t>
  </si>
  <si>
    <t>221014</t>
  </si>
  <si>
    <t xml:space="preserve">Nang ha </t>
  </si>
  <si>
    <t>PSVY0810103351</t>
  </si>
  <si>
    <t>308935774620</t>
  </si>
  <si>
    <t>GAOU6533230</t>
  </si>
  <si>
    <t>PSVY0810103385</t>
  </si>
  <si>
    <t>308935778010</t>
  </si>
  <si>
    <t>PSVY0810103441</t>
  </si>
  <si>
    <t>308935814850</t>
  </si>
  <si>
    <t>PSVY0810103442</t>
  </si>
  <si>
    <t>308935815110</t>
  </si>
  <si>
    <t>PSVY0810103443</t>
  </si>
  <si>
    <t>308935839940</t>
  </si>
  <si>
    <t>PSVY0810103444</t>
  </si>
  <si>
    <t>308935845760</t>
  </si>
  <si>
    <t>230647</t>
  </si>
  <si>
    <t>00122432</t>
  </si>
  <si>
    <t>PSVY0810106961</t>
  </si>
  <si>
    <t>308955813040</t>
  </si>
  <si>
    <t>TIIU6742059</t>
  </si>
  <si>
    <t>PSVY0810106965</t>
  </si>
  <si>
    <t>308955816430</t>
  </si>
  <si>
    <t>PSVY0810106966</t>
  </si>
  <si>
    <t>308955838020</t>
  </si>
  <si>
    <t>PSVY0810106967</t>
  </si>
  <si>
    <t>308955843840</t>
  </si>
  <si>
    <t>PSVY0810106994</t>
  </si>
  <si>
    <t>308955863700</t>
  </si>
  <si>
    <t>PSVY0810112018</t>
  </si>
  <si>
    <t>308955866940</t>
  </si>
  <si>
    <t>PSVY0810112023</t>
  </si>
  <si>
    <t>308955883520</t>
  </si>
  <si>
    <t>PSVY0810112039</t>
  </si>
  <si>
    <t>308955889120</t>
  </si>
  <si>
    <t>PSVY0810112040</t>
  </si>
  <si>
    <t>308955904040</t>
  </si>
  <si>
    <t>PSVY0810112041</t>
  </si>
  <si>
    <t>308955906840</t>
  </si>
  <si>
    <t>PSVY0810112042</t>
  </si>
  <si>
    <t>308955920950</t>
  </si>
  <si>
    <t>PSVY0810112043</t>
  </si>
  <si>
    <t>308955923750</t>
  </si>
  <si>
    <t>352032</t>
  </si>
  <si>
    <t>Nang ha</t>
  </si>
  <si>
    <t>PSVY0810107040</t>
  </si>
  <si>
    <t>308959241900</t>
  </si>
  <si>
    <t>ONEU1089869</t>
  </si>
  <si>
    <t>PSVY0810107052</t>
  </si>
  <si>
    <t>308959263120</t>
  </si>
  <si>
    <t>PSVY0810108508</t>
  </si>
  <si>
    <t>308959291820</t>
  </si>
  <si>
    <t>PSVY0810108511</t>
  </si>
  <si>
    <t>308959313040</t>
  </si>
  <si>
    <t>PSVY0810107041</t>
  </si>
  <si>
    <t>308959335000</t>
  </si>
  <si>
    <t>PSVY0810107053</t>
  </si>
  <si>
    <t>308959351320</t>
  </si>
  <si>
    <t>228681</t>
  </si>
  <si>
    <t>7723</t>
  </si>
  <si>
    <t>PSVY0810108510</t>
  </si>
  <si>
    <t>308958586330</t>
  </si>
  <si>
    <t>MRSU2840336</t>
  </si>
  <si>
    <t>PSVY0810107018</t>
  </si>
  <si>
    <t>308958599260</t>
  </si>
  <si>
    <t>PSVY0810108513</t>
  </si>
  <si>
    <t>308958606150</t>
  </si>
  <si>
    <t>PSVY0810107019</t>
  </si>
  <si>
    <t>308958614700</t>
  </si>
  <si>
    <t>PSVY0810108509</t>
  </si>
  <si>
    <t>308958646200</t>
  </si>
  <si>
    <t>01262431</t>
  </si>
  <si>
    <t>PSVY0810106962</t>
  </si>
  <si>
    <t>308959684520</t>
  </si>
  <si>
    <t>MRSU7557930</t>
  </si>
  <si>
    <t>PSVY0810106963</t>
  </si>
  <si>
    <t>308959703420</t>
  </si>
  <si>
    <t>PSVY0810106964</t>
  </si>
  <si>
    <t>308959718930</t>
  </si>
  <si>
    <t>PSVY0810106995</t>
  </si>
  <si>
    <t>308959741810</t>
  </si>
  <si>
    <t>PSVY0810107021</t>
  </si>
  <si>
    <t>308959770840</t>
  </si>
  <si>
    <t>PSVY0810107022</t>
  </si>
  <si>
    <t>308959789260</t>
  </si>
  <si>
    <t>PSVY0810107023</t>
  </si>
  <si>
    <t>308959808050</t>
  </si>
  <si>
    <t>PSVY0810107045</t>
  </si>
  <si>
    <t>308959834210</t>
  </si>
  <si>
    <t>PSVY0810112015</t>
  </si>
  <si>
    <t>308959856460</t>
  </si>
  <si>
    <t>PSVY0810112016</t>
  </si>
  <si>
    <t>308959873740</t>
  </si>
  <si>
    <t>PSVY0810112450</t>
  </si>
  <si>
    <t>308959889620</t>
  </si>
  <si>
    <t>PSVY0810106998</t>
  </si>
  <si>
    <t>308958765900</t>
  </si>
  <si>
    <t>TIIU6279469</t>
  </si>
  <si>
    <t>PSVY0810108524</t>
  </si>
  <si>
    <t>308958762140</t>
  </si>
  <si>
    <t>PSVY0840003894</t>
  </si>
  <si>
    <t>308958782660</t>
  </si>
  <si>
    <t>138336</t>
  </si>
  <si>
    <t>228971</t>
  </si>
  <si>
    <t>PSVY0810103553</t>
  </si>
  <si>
    <t>308964993060</t>
  </si>
  <si>
    <t>JXLU6384074</t>
  </si>
  <si>
    <t>229284</t>
  </si>
  <si>
    <t>PSVY0810107080</t>
  </si>
  <si>
    <t>308963802730</t>
  </si>
  <si>
    <t>ONEU1310603</t>
  </si>
  <si>
    <t>PSVY0810112440</t>
  </si>
  <si>
    <t>308963821040</t>
  </si>
  <si>
    <t>PSVY0810112446</t>
  </si>
  <si>
    <t>308963840640</t>
  </si>
  <si>
    <t>PSVY0810112447</t>
  </si>
  <si>
    <t>308963857660</t>
  </si>
  <si>
    <t>PSVY0810112448</t>
  </si>
  <si>
    <t>308963874500</t>
  </si>
  <si>
    <t>PSVY0810112451</t>
  </si>
  <si>
    <t>308963893510</t>
  </si>
  <si>
    <t>PSVY0810112452</t>
  </si>
  <si>
    <t>308963909720</t>
  </si>
  <si>
    <t>229274</t>
  </si>
  <si>
    <t>16507</t>
  </si>
  <si>
    <t>PSVY0810106950</t>
  </si>
  <si>
    <t>308962994560</t>
  </si>
  <si>
    <t>TRHU3855652</t>
  </si>
  <si>
    <t>PSVY0810107105</t>
  </si>
  <si>
    <t>308962999720</t>
  </si>
  <si>
    <t>PSVY0810107030</t>
  </si>
  <si>
    <t>308963016260</t>
  </si>
  <si>
    <t>243827</t>
  </si>
  <si>
    <t>229360</t>
  </si>
  <si>
    <t>PSVY0810103532</t>
  </si>
  <si>
    <t>308967437610</t>
  </si>
  <si>
    <t>TIIU4287906</t>
  </si>
  <si>
    <t>PSVY0810103582</t>
  </si>
  <si>
    <t>308967512730</t>
  </si>
  <si>
    <t>230182</t>
  </si>
  <si>
    <t>5787</t>
  </si>
  <si>
    <t>PSVY0810107069</t>
  </si>
  <si>
    <t>308967639100</t>
  </si>
  <si>
    <t>CAJU5669210</t>
  </si>
  <si>
    <t>PSVY0810107109</t>
  </si>
  <si>
    <t>308967651220</t>
  </si>
  <si>
    <t>PSVY0810107134</t>
  </si>
  <si>
    <t>308967504660</t>
  </si>
  <si>
    <t>TRHU3570691</t>
  </si>
  <si>
    <t>PSVY0810108525</t>
  </si>
  <si>
    <t>308967513210</t>
  </si>
  <si>
    <t>PSVY0810107133</t>
  </si>
  <si>
    <t>308967550310</t>
  </si>
  <si>
    <t>139833</t>
  </si>
  <si>
    <t>35161</t>
  </si>
  <si>
    <t>PSVY0810107146</t>
  </si>
  <si>
    <t>308968541030</t>
  </si>
  <si>
    <t>FFAU7261570</t>
  </si>
  <si>
    <t>PSVY0810107104</t>
  </si>
  <si>
    <t>308968546040</t>
  </si>
  <si>
    <t>PSVY0810107149</t>
  </si>
  <si>
    <t>308968573230</t>
  </si>
  <si>
    <t>139835</t>
  </si>
  <si>
    <t>16561</t>
  </si>
  <si>
    <t>PSVY0810107114</t>
  </si>
  <si>
    <t>308971888100</t>
  </si>
  <si>
    <t>UETU8798727</t>
  </si>
  <si>
    <t>PSVY0810107148</t>
  </si>
  <si>
    <t>308971898010</t>
  </si>
  <si>
    <t>PSVY0810107166</t>
  </si>
  <si>
    <t>308972235630</t>
  </si>
  <si>
    <t>PSVY0810107050</t>
  </si>
  <si>
    <t>308971903240</t>
  </si>
  <si>
    <t>PSVY0810107065</t>
  </si>
  <si>
    <t>308971908840</t>
  </si>
  <si>
    <t>PSVY0810107101</t>
  </si>
  <si>
    <t>308971913300</t>
  </si>
  <si>
    <t>PSVY0810107159</t>
  </si>
  <si>
    <t>308971927150</t>
  </si>
  <si>
    <t>PSVY0810107143</t>
  </si>
  <si>
    <t>308972188140</t>
  </si>
  <si>
    <t>MRSU8417553</t>
  </si>
  <si>
    <t>PSVY0810107142</t>
  </si>
  <si>
    <t>308972204720</t>
  </si>
  <si>
    <t>PSVY0810107144</t>
  </si>
  <si>
    <t>308972218500</t>
  </si>
  <si>
    <t>140359</t>
  </si>
  <si>
    <t>140499</t>
  </si>
  <si>
    <t>PSVY0810107185</t>
  </si>
  <si>
    <t>308971940230</t>
  </si>
  <si>
    <t>MIEU3731569</t>
  </si>
  <si>
    <t>35564</t>
  </si>
  <si>
    <t>35565</t>
  </si>
  <si>
    <t>PSVY0810107151</t>
  </si>
  <si>
    <t>308971958060</t>
  </si>
  <si>
    <t>MRSU2524596</t>
  </si>
  <si>
    <t>140346</t>
  </si>
  <si>
    <t>139816</t>
  </si>
  <si>
    <t>PSVY0810112700</t>
  </si>
  <si>
    <t>308975118710</t>
  </si>
  <si>
    <t>ECMU7435321</t>
  </si>
  <si>
    <t>PSVY0810112703</t>
  </si>
  <si>
    <t>308975124420</t>
  </si>
  <si>
    <t>PSVY0810112695</t>
  </si>
  <si>
    <t>308975131860</t>
  </si>
  <si>
    <t>PSVY0810112699</t>
  </si>
  <si>
    <t>308975177840</t>
  </si>
  <si>
    <t>PSVY0810112701</t>
  </si>
  <si>
    <t>308975190700</t>
  </si>
  <si>
    <t>PSVY0810112704</t>
  </si>
  <si>
    <t>308975219840</t>
  </si>
  <si>
    <t>PSVY0810112708</t>
  </si>
  <si>
    <t>308975238630</t>
  </si>
  <si>
    <t>PSVY0810112710</t>
  </si>
  <si>
    <t>308975245960</t>
  </si>
  <si>
    <t>PSVY0810112711</t>
  </si>
  <si>
    <t>308975266850</t>
  </si>
  <si>
    <t>PSVY0810112713</t>
  </si>
  <si>
    <t>308975284130</t>
  </si>
  <si>
    <t>PSVY0810112762</t>
  </si>
  <si>
    <t>308975292050</t>
  </si>
  <si>
    <t>139846</t>
  </si>
  <si>
    <t>PSVY0810112603</t>
  </si>
  <si>
    <t>308979478750</t>
  </si>
  <si>
    <t>KKFU8035613</t>
  </si>
  <si>
    <t>PSVY0810112621</t>
  </si>
  <si>
    <t>308979476650</t>
  </si>
  <si>
    <t>PSVY0810112658</t>
  </si>
  <si>
    <t>308979487260</t>
  </si>
  <si>
    <t>PSVY0810112659</t>
  </si>
  <si>
    <t>308979494960</t>
  </si>
  <si>
    <t>PSVY0810114988</t>
  </si>
  <si>
    <t>308979501150</t>
  </si>
  <si>
    <t>PSVY0810115005</t>
  </si>
  <si>
    <t>308979512500</t>
  </si>
  <si>
    <t>PSVY0810115006</t>
  </si>
  <si>
    <t>308979521710</t>
  </si>
  <si>
    <t>PSVY0810115007</t>
  </si>
  <si>
    <t>308979530220</t>
  </si>
  <si>
    <t>233944</t>
  </si>
  <si>
    <t>234887</t>
  </si>
  <si>
    <t>PSVY0810112643</t>
  </si>
  <si>
    <t>308984581310</t>
  </si>
  <si>
    <t>ONEU0652920</t>
  </si>
  <si>
    <t>PSVY0810112654</t>
  </si>
  <si>
    <t>308984587500</t>
  </si>
  <si>
    <t>PSVY0810112656</t>
  </si>
  <si>
    <t>308984604850</t>
  </si>
  <si>
    <t>PSVY0810114997</t>
  </si>
  <si>
    <t>308984624010</t>
  </si>
  <si>
    <t>PSVY0810112642</t>
  </si>
  <si>
    <t>308984630900</t>
  </si>
  <si>
    <t>PSVY0810112649</t>
  </si>
  <si>
    <t>308984636610</t>
  </si>
  <si>
    <t>PSVY0810115000</t>
  </si>
  <si>
    <t>308984660850</t>
  </si>
  <si>
    <t>PSVY0810115002</t>
  </si>
  <si>
    <t>308984668920</t>
  </si>
  <si>
    <t>55607</t>
  </si>
  <si>
    <t>PSVY0810112641</t>
  </si>
  <si>
    <t>308983913620</t>
  </si>
  <si>
    <t>ECMU5820545</t>
  </si>
  <si>
    <t>PSVY0810112644</t>
  </si>
  <si>
    <t>308983918960</t>
  </si>
  <si>
    <t>PSVY0810112645</t>
  </si>
  <si>
    <t>308983926920</t>
  </si>
  <si>
    <t>PSVY0810114998</t>
  </si>
  <si>
    <t>308983972640</t>
  </si>
  <si>
    <t>PSVY0810114999</t>
  </si>
  <si>
    <t>308983979530</t>
  </si>
  <si>
    <t>PSVY0810112646</t>
  </si>
  <si>
    <t>308983987450</t>
  </si>
  <si>
    <t>PSVY0810112648</t>
  </si>
  <si>
    <t>308984008340</t>
  </si>
  <si>
    <t>PSVY0810112650</t>
  </si>
  <si>
    <t>308984015230</t>
  </si>
  <si>
    <t>PSVY0810112652</t>
  </si>
  <si>
    <t>308984021860</t>
  </si>
  <si>
    <t>PSVY0810112653</t>
  </si>
  <si>
    <t>308984043010</t>
  </si>
  <si>
    <t>PSVY0810115001</t>
  </si>
  <si>
    <t>308984053400</t>
  </si>
  <si>
    <t>PSVY0810115003</t>
  </si>
  <si>
    <t>308984060840</t>
  </si>
  <si>
    <t>PSVY0810112664</t>
  </si>
  <si>
    <t>308984094700</t>
  </si>
  <si>
    <t>HMMU6604918</t>
  </si>
  <si>
    <t>PSVY0810112665</t>
  </si>
  <si>
    <t>308984100040</t>
  </si>
  <si>
    <t>PSVY0810112666</t>
  </si>
  <si>
    <t>308984107850</t>
  </si>
  <si>
    <t>140368</t>
  </si>
  <si>
    <t>PSVY0810112744</t>
  </si>
  <si>
    <t>308984167610</t>
  </si>
  <si>
    <t>CMAU9849565</t>
  </si>
  <si>
    <t>PSVY0810112756</t>
  </si>
  <si>
    <t>308984173100</t>
  </si>
  <si>
    <t>PSVY0810112742</t>
  </si>
  <si>
    <t>308984185920</t>
  </si>
  <si>
    <t>PSVY0810112743</t>
  </si>
  <si>
    <t>308984206000</t>
  </si>
  <si>
    <t>PSVY0810112758</t>
  </si>
  <si>
    <t>308984211560</t>
  </si>
  <si>
    <t>PSVY0810114990</t>
  </si>
  <si>
    <t>308984253120</t>
  </si>
  <si>
    <t>PSVY0810114991</t>
  </si>
  <si>
    <t>308984286500</t>
  </si>
  <si>
    <t>PSVY0810112746</t>
  </si>
  <si>
    <t>308984297660</t>
  </si>
  <si>
    <t>PSVY0810112754</t>
  </si>
  <si>
    <t>308984308860</t>
  </si>
  <si>
    <t>PSVY0810112759</t>
  </si>
  <si>
    <t>308984332660</t>
  </si>
  <si>
    <t>PSVY0810114984</t>
  </si>
  <si>
    <t>308984343640</t>
  </si>
  <si>
    <t>PSVY0810114994</t>
  </si>
  <si>
    <t>308984351340</t>
  </si>
  <si>
    <t>PSVY0810112741</t>
  </si>
  <si>
    <t>308986638940</t>
  </si>
  <si>
    <t>TIIU6612522</t>
  </si>
  <si>
    <t>PSVY0810112751</t>
  </si>
  <si>
    <t>308986646310</t>
  </si>
  <si>
    <t>PSVY0810112760</t>
  </si>
  <si>
    <t>308986668820</t>
  </si>
  <si>
    <t>PSVY0810112764</t>
  </si>
  <si>
    <t>308986674310</t>
  </si>
  <si>
    <t>PSVY0810112674</t>
  </si>
  <si>
    <t>308984069500</t>
  </si>
  <si>
    <t>BSIU3469241</t>
  </si>
  <si>
    <t>PSVY0810112675</t>
  </si>
  <si>
    <t>308984108810</t>
  </si>
  <si>
    <t>PSVY0810112730</t>
  </si>
  <si>
    <t>308984121740</t>
  </si>
  <si>
    <t>142507</t>
  </si>
  <si>
    <t>PSVY0810112673</t>
  </si>
  <si>
    <t>308985102550</t>
  </si>
  <si>
    <t>FTAU2143989</t>
  </si>
  <si>
    <t>PSVY0810112731</t>
  </si>
  <si>
    <t>308985117400</t>
  </si>
  <si>
    <t>PSVY0810112568</t>
  </si>
  <si>
    <t>308985139100</t>
  </si>
  <si>
    <t>142314</t>
  </si>
  <si>
    <t>232982</t>
  </si>
  <si>
    <t>PSVY0810112716</t>
  </si>
  <si>
    <t>308988496300</t>
  </si>
  <si>
    <t>ECMU5485004</t>
  </si>
  <si>
    <t>PSVY0810112771</t>
  </si>
  <si>
    <t>308988507940</t>
  </si>
  <si>
    <t>ECMU5485004
CAAU5963770</t>
  </si>
  <si>
    <t>PSVY0810112747</t>
  </si>
  <si>
    <t>308988522160</t>
  </si>
  <si>
    <t>233062</t>
  </si>
  <si>
    <t>CAAU5963770</t>
  </si>
  <si>
    <t>36551</t>
  </si>
  <si>
    <t>PSVY0810112604</t>
  </si>
  <si>
    <t>308988567110</t>
  </si>
  <si>
    <t>MRSU2623650</t>
  </si>
  <si>
    <t>PSVY0810112769</t>
  </si>
  <si>
    <t>308988586560</t>
  </si>
  <si>
    <t>143157</t>
  </si>
  <si>
    <t>215199</t>
  </si>
  <si>
    <t>PSVY0810112745</t>
  </si>
  <si>
    <t>308990467940</t>
  </si>
  <si>
    <t>ONEU6906703</t>
  </si>
  <si>
    <t>PSVY0810112767</t>
  </si>
  <si>
    <t>308990472840</t>
  </si>
  <si>
    <t>PSVY0810112757</t>
  </si>
  <si>
    <t>308990489640</t>
  </si>
  <si>
    <t>PSVY0810114992</t>
  </si>
  <si>
    <t>308990495240</t>
  </si>
  <si>
    <t>235993</t>
  </si>
  <si>
    <t>PSVY0810112765</t>
  </si>
  <si>
    <t>308988642120</t>
  </si>
  <si>
    <t>MSMU9241509</t>
  </si>
  <si>
    <t>PSVY0810114993</t>
  </si>
  <si>
    <t>308988653540</t>
  </si>
  <si>
    <t>PSVY0810112749</t>
  </si>
  <si>
    <t>308988721110</t>
  </si>
  <si>
    <t>MSMU9215644</t>
  </si>
  <si>
    <t>PSVY0810112755</t>
  </si>
  <si>
    <t>308988740010</t>
  </si>
  <si>
    <t>8840</t>
  </si>
  <si>
    <t>PSVY0810115008</t>
  </si>
  <si>
    <t>308988218950</t>
  </si>
  <si>
    <t>TXGU4978250</t>
  </si>
  <si>
    <t>233728</t>
  </si>
  <si>
    <t>PSVY0810114964</t>
  </si>
  <si>
    <t>308993068700</t>
  </si>
  <si>
    <t>CMAU9527430</t>
  </si>
  <si>
    <t>CMAU9527430
BEAU6144147</t>
  </si>
  <si>
    <t>PSVY0810112809</t>
  </si>
  <si>
    <t>308994238400</t>
  </si>
  <si>
    <t>234427</t>
  </si>
  <si>
    <t>BEAU6144147</t>
  </si>
  <si>
    <t>PSVY0810112784</t>
  </si>
  <si>
    <t>308993103810</t>
  </si>
  <si>
    <t>GCXU5422887</t>
  </si>
  <si>
    <t>PSVY0810114965</t>
  </si>
  <si>
    <t>308993139730</t>
  </si>
  <si>
    <t>PSVY0810114966</t>
  </si>
  <si>
    <t>308993185010</t>
  </si>
  <si>
    <t>PSVY0840004086</t>
  </si>
  <si>
    <t>308993193300</t>
  </si>
  <si>
    <t>PSVY0810114967</t>
  </si>
  <si>
    <t>308993213010</t>
  </si>
  <si>
    <t>PSVY0810114968</t>
  </si>
  <si>
    <t>308993255930</t>
  </si>
  <si>
    <t>237152</t>
  </si>
  <si>
    <t>234466</t>
  </si>
  <si>
    <t>PSVY0810112718</t>
  </si>
  <si>
    <t>308994283530</t>
  </si>
  <si>
    <t>CMAU3841037</t>
  </si>
  <si>
    <t>PSVY0810112800</t>
  </si>
  <si>
    <t>308994291010</t>
  </si>
  <si>
    <t>PSVY0810112804</t>
  </si>
  <si>
    <t>308994326600</t>
  </si>
  <si>
    <t>237160</t>
  </si>
  <si>
    <t>19981</t>
  </si>
  <si>
    <t>PSVY0810112592</t>
  </si>
  <si>
    <t>308972142900</t>
  </si>
  <si>
    <t>CTTU289</t>
  </si>
  <si>
    <t>PSVY0810112595</t>
  </si>
  <si>
    <t>308972165520</t>
  </si>
  <si>
    <t xml:space="preserve">   POUSUNG</t>
  </si>
  <si>
    <t>CONG THANH 25/09/2026</t>
  </si>
  <si>
    <t xml:space="preserve">   Manager</t>
  </si>
  <si>
    <t>TL DIRECTOR</t>
  </si>
  <si>
    <t xml:space="preserve">       AC.DEP</t>
  </si>
  <si>
    <t>LE THI HONG THAM</t>
  </si>
  <si>
    <t>01258916</t>
  </si>
  <si>
    <t xml:space="preserve">PT ha bai som </t>
  </si>
  <si>
    <t>PSVY0810103469</t>
  </si>
  <si>
    <t>308954385040</t>
  </si>
  <si>
    <t>TWCU8176826</t>
  </si>
  <si>
    <t>PSVY0810103549</t>
  </si>
  <si>
    <t>308954401250</t>
  </si>
  <si>
    <t>TWCU8261527</t>
  </si>
  <si>
    <t>PSVY0810103470</t>
  </si>
  <si>
    <t>308954428440</t>
  </si>
  <si>
    <t>PSVY0810103465</t>
  </si>
  <si>
    <t>308954447820</t>
  </si>
  <si>
    <t>TIIU5778289</t>
  </si>
  <si>
    <t>PSVY0810103506</t>
  </si>
  <si>
    <t>308954480940</t>
  </si>
  <si>
    <t>HPCU4863052</t>
  </si>
  <si>
    <t>PSVY0810103569</t>
  </si>
  <si>
    <t>308954493060</t>
  </si>
  <si>
    <t>PSVY0810103466</t>
  </si>
  <si>
    <t>308954533550</t>
  </si>
  <si>
    <t>01259515</t>
  </si>
  <si>
    <t>01258907</t>
  </si>
  <si>
    <t>PT ha bai som</t>
  </si>
  <si>
    <t>PSVY0810103521</t>
  </si>
  <si>
    <t>308954552560</t>
  </si>
  <si>
    <t>TXGU4856354</t>
  </si>
  <si>
    <t>PSVY0810103560</t>
  </si>
  <si>
    <t>308954568700</t>
  </si>
  <si>
    <t>TWCU4076963</t>
  </si>
  <si>
    <t>PSVY0810103561</t>
  </si>
  <si>
    <t>308954589810</t>
  </si>
  <si>
    <t>TWCU2321260</t>
  </si>
  <si>
    <t>PSVY0810103565</t>
  </si>
  <si>
    <t>308954607050</t>
  </si>
  <si>
    <t>PSVY0810107067</t>
  </si>
  <si>
    <t>308954623410</t>
  </si>
  <si>
    <t>TWCU4069666</t>
  </si>
  <si>
    <t>01259011</t>
  </si>
  <si>
    <r>
      <rPr>
        <b/>
        <sz val="14"/>
        <color theme="1"/>
        <rFont val="Times New Roman"/>
        <family val="1"/>
      </rPr>
      <t>Form : 16/09- 25/09/2026. No: 09CH-2/2026</t>
    </r>
    <r>
      <rPr>
        <b/>
        <sz val="12"/>
        <color theme="1"/>
        <rFont val="Times New Roman"/>
        <family val="1"/>
      </rPr>
      <t xml:space="preserve">
</t>
    </r>
    <r>
      <rPr>
        <b/>
        <sz val="11"/>
        <color theme="1"/>
        <rFont val="Times New Roman"/>
        <family val="1"/>
      </rPr>
      <t>SERIAL No: 1C26TCT ,INVOICE No: 00000 , 00/00/2026</t>
    </r>
  </si>
  <si>
    <t>Ngày</t>
    <phoneticPr fontId="12" type="noConversion"/>
  </si>
  <si>
    <t>Số Hóa đơn</t>
    <phoneticPr fontId="12" type="noConversion"/>
  </si>
  <si>
    <t xml:space="preserve">Nang ha </t>
    <phoneticPr fontId="12" type="noConversion"/>
  </si>
  <si>
    <t>Tên Đơn vị mua hàng:</t>
    <phoneticPr fontId="12" type="noConversion"/>
  </si>
  <si>
    <t>Tên Đơn vị bán hàng: CÔNG TY TNHH DỊCH VỤ GIAO NHẬN VẬN TẢI VÀ THƯƠNG MẠI CÔNG THÀNH</t>
    <phoneticPr fontId="12" type="noConversion"/>
  </si>
  <si>
    <t>Nội dung</t>
    <phoneticPr fontId="12" type="noConversion"/>
  </si>
  <si>
    <t>Tiền trước thuế</t>
    <phoneticPr fontId="12" type="noConversion"/>
  </si>
  <si>
    <t>VAT</t>
    <phoneticPr fontId="12" type="noConversion"/>
  </si>
  <si>
    <t>INV</t>
    <phoneticPr fontId="12" type="noConversion"/>
  </si>
  <si>
    <t>Tờ khai</t>
    <phoneticPr fontId="12" type="noConversion"/>
  </si>
  <si>
    <t>CONT</t>
    <phoneticPr fontId="12" type="noConversion"/>
  </si>
  <si>
    <t>TỔNG CỘNG</t>
    <phoneticPr fontId="12" type="noConversion"/>
  </si>
  <si>
    <t>TOTAL</t>
    <phoneticPr fontId="1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</si>
</sst>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76" formatCode="_(* #,##0.00_);_(* \(#,##0.00\);_(* &quot;-&quot;??_);_(@_)"/>
    <numFmt numFmtId="177" formatCode="_-* #,##0_-;\-* #,##0_-;_-* &quot;-&quot;??_-;_-@_-"/>
    <numFmt numFmtId="178" formatCode="[$-409]mmm\-yy;@"/>
    <numFmt numFmtId="179" formatCode="_(* #,##0_);_(* \(#,##0\);_(* &quot;-&quot;??_);_(@_)"/>
    <numFmt numFmtId="180" formatCode="00000000"/>
    <numFmt numFmtId="181" formatCode="00000"/>
    <numFmt numFmtId="182" formatCode="_-* #,##0_-;\-* #,##0_-;_-* \-??_-;_-@_-"/>
  </numFmts>
  <fonts count="13">
    <font>
      <sz val="11"/>
      <color theme="1"/>
      <name val="新細明體"/>
      <family val="2"/>
      <scheme val="minor"/>
    </font>
    <font>
      <sz val="11"/>
      <color theme="1"/>
      <name val="新細明體"/>
      <family val="2"/>
      <scheme val="minor"/>
    </font>
    <font>
      <sz val="10"/>
      <name val="VNI-Times"/>
    </font>
    <font>
      <sz val="10"/>
      <name val="Arial"/>
      <family val="2"/>
    </font>
    <font>
      <sz val="12"/>
      <name val="新細明體"/>
      <family val="1"/>
      <charset val="136"/>
    </font>
    <font>
      <sz val="10"/>
      <color theme="1"/>
      <name val="Times New Roman"/>
      <family val="1"/>
    </font>
    <font>
      <b/>
      <sz val="12"/>
      <color theme="1"/>
      <name val="Times New Roman"/>
      <family val="1"/>
    </font>
    <font>
      <sz val="11"/>
      <color theme="1"/>
      <name val="Times New Roman"/>
      <family val="1"/>
    </font>
    <font>
      <sz val="13"/>
      <color theme="1"/>
      <name val="Times New Roman"/>
      <family val="1"/>
    </font>
    <font>
      <b/>
      <sz val="14"/>
      <color theme="1"/>
      <name val="Times New Roman"/>
      <family val="1"/>
    </font>
    <font>
      <b/>
      <sz val="11"/>
      <color theme="1"/>
      <name val="Times New Roman"/>
      <family val="1"/>
    </font>
    <font>
      <b/>
      <sz val="10"/>
      <color theme="1"/>
      <name val="Times New Roman"/>
      <family val="1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/>
      <right/>
      <top/>
      <bottom style="mediumDashDotDot">
        <color indexed="64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</borders>
  <cellStyleXfs count="11">
    <xf numFmtId="0" fontId="0" fillId="0" borderId="0"/>
    <xf numFmtId="0" fontId="2" fillId="0" borderId="0"/>
    <xf numFmtId="176" fontId="3" fillId="0" borderId="0" applyFont="0" applyFill="0" applyBorder="0" applyAlignment="0" applyProtection="0"/>
    <xf numFmtId="176" fontId="3" fillId="0" borderId="0" applyFont="0" applyFill="0" applyBorder="0" applyAlignment="0" applyProtection="0"/>
    <xf numFmtId="0" fontId="2" fillId="0" borderId="0"/>
    <xf numFmtId="0" fontId="3" fillId="0" borderId="0"/>
    <xf numFmtId="0" fontId="4" fillId="0" borderId="0"/>
    <xf numFmtId="0" fontId="2" fillId="0" borderId="0"/>
    <xf numFmtId="176" fontId="3" fillId="0" borderId="0" applyFont="0" applyFill="0" applyBorder="0" applyAlignment="0" applyProtection="0"/>
    <xf numFmtId="0" fontId="1" fillId="0" borderId="0"/>
    <xf numFmtId="0" fontId="1" fillId="0" borderId="0"/>
  </cellStyleXfs>
  <cellXfs count="69">
    <xf numFmtId="0" fontId="0" fillId="0" borderId="0" xfId="0"/>
    <xf numFmtId="0" fontId="5" fillId="0" borderId="7" xfId="0" applyFont="1" applyFill="1" applyBorder="1" applyAlignment="1">
      <alignment horizontal="center" vertical="center"/>
    </xf>
    <xf numFmtId="181" fontId="5" fillId="0" borderId="7" xfId="9" applyNumberFormat="1" applyFont="1" applyFill="1" applyBorder="1" applyAlignment="1">
      <alignment horizontal="center" vertical="center"/>
    </xf>
    <xf numFmtId="181" fontId="5" fillId="0" borderId="7" xfId="7" applyNumberFormat="1" applyFont="1" applyFill="1" applyBorder="1" applyAlignment="1">
      <alignment horizontal="center" vertical="center"/>
    </xf>
    <xf numFmtId="0" fontId="5" fillId="0" borderId="7" xfId="0" applyFont="1" applyFill="1" applyBorder="1" applyAlignment="1">
      <alignment horizontal="center"/>
    </xf>
    <xf numFmtId="0" fontId="5" fillId="0" borderId="8" xfId="0" applyFont="1" applyFill="1" applyBorder="1" applyAlignment="1">
      <alignment horizontal="center"/>
    </xf>
    <xf numFmtId="0" fontId="5" fillId="0" borderId="8" xfId="0" applyFont="1" applyFill="1" applyBorder="1" applyAlignment="1">
      <alignment horizontal="center" vertical="center"/>
    </xf>
    <xf numFmtId="181" fontId="5" fillId="0" borderId="7" xfId="10" applyNumberFormat="1" applyFont="1" applyFill="1" applyBorder="1" applyAlignment="1">
      <alignment horizontal="center" vertical="center"/>
    </xf>
    <xf numFmtId="181" fontId="5" fillId="0" borderId="7" xfId="0" quotePrefix="1" applyNumberFormat="1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/>
    </xf>
    <xf numFmtId="0" fontId="5" fillId="0" borderId="0" xfId="1" applyFont="1" applyFill="1" applyAlignment="1">
      <alignment horizontal="center"/>
    </xf>
    <xf numFmtId="0" fontId="5" fillId="0" borderId="0" xfId="1" applyFont="1" applyFill="1" applyBorder="1"/>
    <xf numFmtId="177" fontId="7" fillId="0" borderId="0" xfId="3" applyNumberFormat="1" applyFont="1" applyFill="1" applyBorder="1" applyAlignment="1">
      <alignment horizontal="left" vertical="center"/>
    </xf>
    <xf numFmtId="0" fontId="5" fillId="0" borderId="0" xfId="1" applyFont="1" applyFill="1" applyAlignment="1">
      <alignment horizontal="left"/>
    </xf>
    <xf numFmtId="0" fontId="5" fillId="0" borderId="0" xfId="1" applyFont="1" applyFill="1" applyBorder="1" applyAlignment="1">
      <alignment horizontal="left"/>
    </xf>
    <xf numFmtId="0" fontId="5" fillId="0" borderId="1" xfId="1" applyFont="1" applyFill="1" applyBorder="1" applyAlignment="1">
      <alignment horizontal="left"/>
    </xf>
    <xf numFmtId="0" fontId="5" fillId="0" borderId="1" xfId="1" applyFont="1" applyFill="1" applyBorder="1" applyAlignment="1">
      <alignment horizontal="center"/>
    </xf>
    <xf numFmtId="177" fontId="8" fillId="0" borderId="0" xfId="3" applyNumberFormat="1" applyFont="1" applyFill="1" applyBorder="1" applyAlignment="1">
      <alignment horizontal="left" vertical="center"/>
    </xf>
    <xf numFmtId="0" fontId="5" fillId="0" borderId="0" xfId="5" applyFont="1" applyFill="1"/>
    <xf numFmtId="0" fontId="5" fillId="0" borderId="0" xfId="6" applyFont="1" applyFill="1"/>
    <xf numFmtId="0" fontId="5" fillId="0" borderId="3" xfId="6" applyFont="1" applyFill="1" applyBorder="1" applyAlignment="1">
      <alignment horizontal="center" wrapText="1"/>
    </xf>
    <xf numFmtId="0" fontId="5" fillId="0" borderId="4" xfId="6" applyFont="1" applyFill="1" applyBorder="1" applyAlignment="1">
      <alignment horizontal="center" wrapText="1"/>
    </xf>
    <xf numFmtId="178" fontId="5" fillId="0" borderId="4" xfId="6" applyNumberFormat="1" applyFont="1" applyFill="1" applyBorder="1" applyAlignment="1">
      <alignment horizontal="center" wrapText="1"/>
    </xf>
    <xf numFmtId="179" fontId="5" fillId="0" borderId="4" xfId="8" applyNumberFormat="1" applyFont="1" applyFill="1" applyBorder="1" applyAlignment="1" applyProtection="1">
      <alignment horizontal="center" wrapText="1"/>
    </xf>
    <xf numFmtId="179" fontId="5" fillId="0" borderId="5" xfId="8" applyNumberFormat="1" applyFont="1" applyFill="1" applyBorder="1" applyAlignment="1" applyProtection="1">
      <alignment horizontal="center" wrapText="1"/>
    </xf>
    <xf numFmtId="181" fontId="5" fillId="0" borderId="7" xfId="10" quotePrefix="1" applyNumberFormat="1" applyFont="1" applyFill="1" applyBorder="1" applyAlignment="1">
      <alignment horizontal="center" vertical="center"/>
    </xf>
    <xf numFmtId="181" fontId="5" fillId="0" borderId="7" xfId="7" quotePrefix="1" applyNumberFormat="1" applyFont="1" applyFill="1" applyBorder="1" applyAlignment="1">
      <alignment horizontal="center" vertical="center"/>
    </xf>
    <xf numFmtId="16" fontId="5" fillId="0" borderId="6" xfId="6" quotePrefix="1" applyNumberFormat="1" applyFont="1" applyFill="1" applyBorder="1" applyAlignment="1">
      <alignment horizontal="center" wrapText="1"/>
    </xf>
    <xf numFmtId="180" fontId="5" fillId="0" borderId="7" xfId="6" quotePrefix="1" applyNumberFormat="1" applyFont="1" applyFill="1" applyBorder="1" applyAlignment="1">
      <alignment horizontal="center" wrapText="1"/>
    </xf>
    <xf numFmtId="178" fontId="5" fillId="0" borderId="7" xfId="6" applyNumberFormat="1" applyFont="1" applyFill="1" applyBorder="1" applyAlignment="1">
      <alignment horizontal="center" wrapText="1"/>
    </xf>
    <xf numFmtId="179" fontId="5" fillId="0" borderId="7" xfId="8" applyNumberFormat="1" applyFont="1" applyFill="1" applyBorder="1" applyAlignment="1" applyProtection="1">
      <alignment horizontal="center" wrapText="1"/>
    </xf>
    <xf numFmtId="181" fontId="5" fillId="0" borderId="7" xfId="0" applyNumberFormat="1" applyFont="1" applyFill="1" applyBorder="1" applyAlignment="1">
      <alignment horizontal="center" vertical="center"/>
    </xf>
    <xf numFmtId="180" fontId="5" fillId="0" borderId="7" xfId="0" quotePrefix="1" applyNumberFormat="1" applyFont="1" applyFill="1" applyBorder="1" applyAlignment="1">
      <alignment horizontal="center"/>
    </xf>
    <xf numFmtId="181" fontId="5" fillId="0" borderId="7" xfId="0" applyNumberFormat="1" applyFont="1" applyFill="1" applyBorder="1" applyAlignment="1">
      <alignment horizontal="center"/>
    </xf>
    <xf numFmtId="182" fontId="10" fillId="0" borderId="10" xfId="6" applyNumberFormat="1" applyFont="1" applyFill="1" applyBorder="1" applyAlignment="1">
      <alignment horizontal="center"/>
    </xf>
    <xf numFmtId="179" fontId="10" fillId="0" borderId="10" xfId="6" applyNumberFormat="1" applyFont="1" applyFill="1" applyBorder="1" applyAlignment="1">
      <alignment horizontal="center"/>
    </xf>
    <xf numFmtId="182" fontId="10" fillId="0" borderId="11" xfId="6" applyNumberFormat="1" applyFont="1" applyFill="1" applyBorder="1" applyAlignment="1">
      <alignment horizontal="center"/>
    </xf>
    <xf numFmtId="0" fontId="11" fillId="0" borderId="0" xfId="6" applyFont="1" applyFill="1"/>
    <xf numFmtId="0" fontId="5" fillId="0" borderId="0" xfId="6" applyFont="1" applyFill="1" applyBorder="1" applyAlignment="1">
      <alignment horizontal="center"/>
    </xf>
    <xf numFmtId="182" fontId="5" fillId="0" borderId="0" xfId="6" applyNumberFormat="1" applyFont="1" applyFill="1" applyBorder="1" applyAlignment="1">
      <alignment horizontal="center"/>
    </xf>
    <xf numFmtId="3" fontId="11" fillId="0" borderId="0" xfId="5" applyNumberFormat="1" applyFont="1" applyFill="1" applyBorder="1" applyAlignment="1"/>
    <xf numFmtId="14" fontId="11" fillId="0" borderId="0" xfId="5" applyNumberFormat="1" applyFont="1" applyFill="1" applyBorder="1" applyAlignment="1">
      <alignment horizontal="center"/>
    </xf>
    <xf numFmtId="0" fontId="11" fillId="0" borderId="0" xfId="5" applyFont="1" applyFill="1"/>
    <xf numFmtId="3" fontId="11" fillId="0" borderId="0" xfId="5" applyNumberFormat="1" applyFont="1" applyFill="1" applyBorder="1" applyAlignment="1">
      <alignment horizontal="center"/>
    </xf>
    <xf numFmtId="14" fontId="11" fillId="0" borderId="0" xfId="5" applyNumberFormat="1" applyFont="1" applyFill="1" applyAlignment="1">
      <alignment horizontal="center"/>
    </xf>
    <xf numFmtId="0" fontId="11" fillId="0" borderId="0" xfId="5" applyFont="1" applyFill="1" applyAlignment="1">
      <alignment horizontal="center"/>
    </xf>
    <xf numFmtId="179" fontId="11" fillId="0" borderId="0" xfId="3" applyNumberFormat="1" applyFont="1" applyFill="1" applyAlignment="1">
      <alignment horizontal="center"/>
    </xf>
    <xf numFmtId="179" fontId="11" fillId="0" borderId="0" xfId="3" applyNumberFormat="1" applyFont="1" applyFill="1" applyAlignment="1"/>
    <xf numFmtId="0" fontId="5" fillId="0" borderId="0" xfId="6" applyFont="1" applyFill="1" applyAlignment="1">
      <alignment horizontal="center"/>
    </xf>
    <xf numFmtId="178" fontId="5" fillId="0" borderId="0" xfId="6" applyNumberFormat="1" applyFont="1" applyFill="1" applyAlignment="1">
      <alignment horizontal="center"/>
    </xf>
    <xf numFmtId="179" fontId="5" fillId="0" borderId="0" xfId="8" applyNumberFormat="1" applyFont="1" applyFill="1" applyBorder="1" applyAlignment="1" applyProtection="1">
      <alignment horizontal="center"/>
    </xf>
    <xf numFmtId="179" fontId="5" fillId="0" borderId="0" xfId="3" applyNumberFormat="1" applyFont="1" applyFill="1" applyAlignment="1">
      <alignment horizontal="center"/>
    </xf>
    <xf numFmtId="0" fontId="11" fillId="0" borderId="9" xfId="6" applyFont="1" applyFill="1" applyBorder="1" applyAlignment="1">
      <alignment horizontal="center"/>
    </xf>
    <xf numFmtId="0" fontId="11" fillId="0" borderId="10" xfId="6" applyFont="1" applyFill="1" applyBorder="1" applyAlignment="1">
      <alignment horizontal="center"/>
    </xf>
    <xf numFmtId="0" fontId="5" fillId="0" borderId="8" xfId="0" applyFont="1" applyFill="1" applyBorder="1" applyAlignment="1">
      <alignment horizontal="center"/>
    </xf>
    <xf numFmtId="16" fontId="5" fillId="0" borderId="6" xfId="6" quotePrefix="1" applyNumberFormat="1" applyFont="1" applyFill="1" applyBorder="1" applyAlignment="1">
      <alignment horizontal="center" wrapText="1"/>
    </xf>
    <xf numFmtId="180" fontId="5" fillId="0" borderId="7" xfId="6" quotePrefix="1" applyNumberFormat="1" applyFont="1" applyFill="1" applyBorder="1" applyAlignment="1">
      <alignment horizontal="center" wrapText="1"/>
    </xf>
    <xf numFmtId="179" fontId="5" fillId="0" borderId="7" xfId="8" applyNumberFormat="1" applyFont="1" applyFill="1" applyBorder="1" applyAlignment="1" applyProtection="1">
      <alignment horizontal="center" wrapText="1"/>
    </xf>
    <xf numFmtId="0" fontId="5" fillId="0" borderId="8" xfId="0" applyFont="1" applyFill="1" applyBorder="1" applyAlignment="1">
      <alignment horizontal="center" vertical="center"/>
    </xf>
    <xf numFmtId="0" fontId="5" fillId="0" borderId="8" xfId="0" applyFont="1" applyFill="1" applyBorder="1" applyAlignment="1">
      <alignment horizontal="center" wrapText="1"/>
    </xf>
    <xf numFmtId="178" fontId="5" fillId="0" borderId="7" xfId="6" applyNumberFormat="1" applyFont="1" applyFill="1" applyBorder="1" applyAlignment="1">
      <alignment horizontal="center" wrapText="1"/>
    </xf>
    <xf numFmtId="0" fontId="5" fillId="0" borderId="8" xfId="0" applyFont="1" applyFill="1" applyBorder="1" applyAlignment="1">
      <alignment horizontal="center" vertical="center" wrapText="1"/>
    </xf>
    <xf numFmtId="180" fontId="5" fillId="0" borderId="7" xfId="0" applyNumberFormat="1" applyFont="1" applyFill="1" applyBorder="1" applyAlignment="1">
      <alignment horizontal="center"/>
    </xf>
    <xf numFmtId="180" fontId="5" fillId="0" borderId="7" xfId="0" quotePrefix="1" applyNumberFormat="1" applyFont="1" applyFill="1" applyBorder="1" applyAlignment="1">
      <alignment horizontal="center"/>
    </xf>
    <xf numFmtId="179" fontId="5" fillId="0" borderId="7" xfId="8" quotePrefix="1" applyNumberFormat="1" applyFont="1" applyFill="1" applyBorder="1" applyAlignment="1" applyProtection="1">
      <alignment horizontal="center" wrapText="1"/>
    </xf>
    <xf numFmtId="180" fontId="5" fillId="0" borderId="7" xfId="8" applyNumberFormat="1" applyFont="1" applyFill="1" applyBorder="1" applyAlignment="1" applyProtection="1">
      <alignment horizontal="center" wrapText="1"/>
    </xf>
    <xf numFmtId="180" fontId="5" fillId="0" borderId="7" xfId="8" quotePrefix="1" applyNumberFormat="1" applyFont="1" applyFill="1" applyBorder="1" applyAlignment="1" applyProtection="1">
      <alignment horizontal="center" wrapText="1"/>
    </xf>
    <xf numFmtId="0" fontId="6" fillId="0" borderId="0" xfId="4" applyFont="1" applyFill="1" applyBorder="1" applyAlignment="1">
      <alignment horizontal="center" wrapText="1"/>
    </xf>
    <xf numFmtId="0" fontId="9" fillId="0" borderId="2" xfId="6" applyFont="1" applyFill="1" applyBorder="1" applyAlignment="1">
      <alignment horizontal="center"/>
    </xf>
  </cellXfs>
  <cellStyles count="11">
    <cellStyle name="AutoFormat Options 2" xfId="5" xr:uid="{00000000-0005-0000-0000-000000000000}"/>
    <cellStyle name="Comma 10" xfId="2" xr:uid="{00000000-0005-0000-0000-000001000000}"/>
    <cellStyle name="Comma 2 2" xfId="3" xr:uid="{00000000-0005-0000-0000-000002000000}"/>
    <cellStyle name="Comma 5" xfId="8" xr:uid="{00000000-0005-0000-0000-000003000000}"/>
    <cellStyle name="Normal 100" xfId="10" xr:uid="{00000000-0005-0000-0000-000005000000}"/>
    <cellStyle name="Normal 94" xfId="9" xr:uid="{00000000-0005-0000-0000-000006000000}"/>
    <cellStyle name="Normal_BANG KE HOA DON KH" xfId="6" xr:uid="{00000000-0005-0000-0000-000007000000}"/>
    <cellStyle name="Normal_HUNG T12" xfId="7" xr:uid="{00000000-0005-0000-0000-000008000000}"/>
    <cellStyle name="Normal_Inband fee 2003" xfId="4" xr:uid="{00000000-0005-0000-0000-000009000000}"/>
    <cellStyle name="Normal_SEA CT T3 2010" xfId="1" xr:uid="{00000000-0005-0000-0000-00000A000000}"/>
    <cellStyle name="一般" xfId="0" builtinId="0"/>
  </cellStyles>
  <dxfs count="146"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jpe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6</xdr:col>
      <xdr:colOff>0</xdr:colOff>
      <xdr:row>1</xdr:row>
      <xdr:rowOff>0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pSpPr>
          <a:grpSpLocks/>
        </xdr:cNvGrpSpPr>
      </xdr:nvGrpSpPr>
      <xdr:grpSpPr bwMode="auto">
        <a:xfrm>
          <a:off x="0" y="0"/>
          <a:ext cx="5753100" cy="895350"/>
          <a:chOff x="628650" y="161925"/>
          <a:chExt cx="11068050" cy="904875"/>
        </a:xfrm>
      </xdr:grpSpPr>
      <xdr:grpSp>
        <xdr:nvGrpSpPr>
          <xdr:cNvPr id="3" name="Group 6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GrpSpPr>
            <a:grpSpLocks/>
          </xdr:cNvGrpSpPr>
        </xdr:nvGrpSpPr>
        <xdr:grpSpPr bwMode="auto">
          <a:xfrm>
            <a:off x="628650" y="171450"/>
            <a:ext cx="11068050" cy="876300"/>
            <a:chOff x="731" y="1134"/>
            <a:chExt cx="10440" cy="1260"/>
          </a:xfrm>
        </xdr:grpSpPr>
        <xdr:pic>
          <xdr:nvPicPr>
            <xdr:cNvPr id="5" name="Picture 5">
              <a:extLst>
                <a:ext uri="{FF2B5EF4-FFF2-40B4-BE49-F238E27FC236}">
                  <a16:creationId xmlns:a16="http://schemas.microsoft.com/office/drawing/2014/main" id="{00000000-0008-0000-0000-000005000000}"/>
                </a:ext>
              </a:extLst>
            </xdr:cNvPr>
            <xdr:cNvPicPr>
              <a:picLocks noChangeAspect="1" noChangeArrowheads="1"/>
            </xdr:cNvPicPr>
          </xdr:nvPicPr>
          <xdr:blipFill>
            <a:blip xmlns:r="http://schemas.openxmlformats.org/officeDocument/2006/relationships" r:embed="rId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939" y="1134"/>
              <a:ext cx="10232" cy="1260"/>
            </a:xfrm>
            <a:prstGeom prst="rect">
              <a:avLst/>
            </a:prstGeom>
            <a:solidFill>
              <a:srgbClr val="9933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pic>
        <xdr:pic>
          <xdr:nvPicPr>
            <xdr:cNvPr id="6" name="Picture 6">
              <a:extLst>
                <a:ext uri="{FF2B5EF4-FFF2-40B4-BE49-F238E27FC236}">
                  <a16:creationId xmlns:a16="http://schemas.microsoft.com/office/drawing/2014/main" id="{00000000-0008-0000-0000-000006000000}"/>
                </a:ext>
              </a:extLst>
            </xdr:cNvPr>
            <xdr:cNvPicPr>
              <a:picLocks noChangeAspect="1" noChangeArrowheads="1"/>
            </xdr:cNvPicPr>
          </xdr:nvPicPr>
          <xdr:blipFill>
            <a:blip xmlns:r="http://schemas.openxmlformats.org/officeDocument/2006/relationships" r:embed="rId2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731" y="1134"/>
              <a:ext cx="1545" cy="1260"/>
            </a:xfrm>
            <a:prstGeom prst="rect">
              <a:avLst/>
            </a:prstGeom>
            <a:solidFill>
              <a:srgbClr val="9933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pic>
      </xdr:grpSp>
      <xdr:pic>
        <xdr:nvPicPr>
          <xdr:cNvPr id="4" name="Picture 734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647700" y="161925"/>
            <a:ext cx="1714329" cy="904875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</xdr:grpSp>
    <xdr:clientData/>
  </xdr:twoCellAnchor>
  <xdr:twoCellAnchor>
    <xdr:from>
      <xdr:col>0</xdr:col>
      <xdr:colOff>0</xdr:colOff>
      <xdr:row>0</xdr:row>
      <xdr:rowOff>0</xdr:rowOff>
    </xdr:from>
    <xdr:to>
      <xdr:col>8</xdr:col>
      <xdr:colOff>809625</xdr:colOff>
      <xdr:row>1</xdr:row>
      <xdr:rowOff>0</xdr:rowOff>
    </xdr:to>
    <xdr:grpSp>
      <xdr:nvGrpSpPr>
        <xdr:cNvPr id="7" name="Group 1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GrpSpPr>
          <a:grpSpLocks/>
        </xdr:cNvGrpSpPr>
      </xdr:nvGrpSpPr>
      <xdr:grpSpPr bwMode="auto">
        <a:xfrm>
          <a:off x="0" y="0"/>
          <a:ext cx="8197850" cy="895350"/>
          <a:chOff x="628650" y="161925"/>
          <a:chExt cx="11068050" cy="904875"/>
        </a:xfrm>
      </xdr:grpSpPr>
      <xdr:grpSp>
        <xdr:nvGrpSpPr>
          <xdr:cNvPr id="8" name="Group 6">
            <a:extLst>
              <a:ext uri="{FF2B5EF4-FFF2-40B4-BE49-F238E27FC236}">
                <a16:creationId xmlns:a16="http://schemas.microsoft.com/office/drawing/2014/main" id="{00000000-0008-0000-0000-000008000000}"/>
              </a:ext>
            </a:extLst>
          </xdr:cNvPr>
          <xdr:cNvGrpSpPr>
            <a:grpSpLocks/>
          </xdr:cNvGrpSpPr>
        </xdr:nvGrpSpPr>
        <xdr:grpSpPr bwMode="auto">
          <a:xfrm>
            <a:off x="628650" y="171450"/>
            <a:ext cx="11068050" cy="876300"/>
            <a:chOff x="731" y="1134"/>
            <a:chExt cx="10440" cy="1260"/>
          </a:xfrm>
        </xdr:grpSpPr>
        <xdr:pic>
          <xdr:nvPicPr>
            <xdr:cNvPr id="10" name="Picture 5">
              <a:extLst>
                <a:ext uri="{FF2B5EF4-FFF2-40B4-BE49-F238E27FC236}">
                  <a16:creationId xmlns:a16="http://schemas.microsoft.com/office/drawing/2014/main" id="{00000000-0008-0000-0000-00000A000000}"/>
                </a:ext>
              </a:extLst>
            </xdr:cNvPr>
            <xdr:cNvPicPr>
              <a:picLocks noChangeAspect="1" noChangeArrowheads="1"/>
            </xdr:cNvPicPr>
          </xdr:nvPicPr>
          <xdr:blipFill>
            <a:blip xmlns:r="http://schemas.openxmlformats.org/officeDocument/2006/relationships" r:embed="rId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939" y="1134"/>
              <a:ext cx="10232" cy="1260"/>
            </a:xfrm>
            <a:prstGeom prst="rect">
              <a:avLst/>
            </a:prstGeom>
            <a:solidFill>
              <a:srgbClr val="9933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pic>
        <xdr:pic>
          <xdr:nvPicPr>
            <xdr:cNvPr id="11" name="Picture 6">
              <a:extLst>
                <a:ext uri="{FF2B5EF4-FFF2-40B4-BE49-F238E27FC236}">
                  <a16:creationId xmlns:a16="http://schemas.microsoft.com/office/drawing/2014/main" id="{00000000-0008-0000-0000-00000B000000}"/>
                </a:ext>
              </a:extLst>
            </xdr:cNvPr>
            <xdr:cNvPicPr>
              <a:picLocks noChangeAspect="1" noChangeArrowheads="1"/>
            </xdr:cNvPicPr>
          </xdr:nvPicPr>
          <xdr:blipFill>
            <a:blip xmlns:r="http://schemas.openxmlformats.org/officeDocument/2006/relationships" r:embed="rId4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731" y="1134"/>
              <a:ext cx="1545" cy="1260"/>
            </a:xfrm>
            <a:prstGeom prst="rect">
              <a:avLst/>
            </a:prstGeom>
            <a:solidFill>
              <a:srgbClr val="9933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pic>
      </xdr:grpSp>
      <xdr:pic>
        <xdr:nvPicPr>
          <xdr:cNvPr id="9" name="Picture 734">
            <a:extLst>
              <a:ext uri="{FF2B5EF4-FFF2-40B4-BE49-F238E27FC236}">
                <a16:creationId xmlns:a16="http://schemas.microsoft.com/office/drawing/2014/main" id="{00000000-0008-0000-0000-000009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647700" y="161925"/>
            <a:ext cx="1714329" cy="904875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67"/>
  <sheetViews>
    <sheetView tabSelected="1" workbookViewId="0">
      <selection activeCell="K15" sqref="K15"/>
    </sheetView>
  </sheetViews>
  <sheetFormatPr defaultColWidth="11.59765625" defaultRowHeight="28.5" customHeight="1"/>
  <cols>
    <col min="1" max="1" width="11.296875" style="19" customWidth="1"/>
    <col min="2" max="2" width="12.3984375" style="48" customWidth="1"/>
    <col min="3" max="3" width="16.8984375" style="49" customWidth="1"/>
    <col min="4" max="4" width="17.8984375" style="50" customWidth="1"/>
    <col min="5" max="6" width="16.09765625" style="50" customWidth="1"/>
    <col min="7" max="7" width="14.296875" style="48" customWidth="1"/>
    <col min="8" max="8" width="11.59765625" style="48" customWidth="1"/>
    <col min="9" max="9" width="20.296875" style="51" customWidth="1"/>
    <col min="10" max="16384" width="11.59765625" style="19"/>
  </cols>
  <sheetData>
    <row r="1" spans="1:9" s="11" customFormat="1" ht="70.5" customHeight="1">
      <c r="A1" s="10"/>
      <c r="B1" s="10"/>
      <c r="C1" s="10"/>
      <c r="D1" s="10"/>
      <c r="E1" s="10"/>
      <c r="F1" s="10"/>
      <c r="G1" s="10"/>
      <c r="H1" s="10"/>
      <c r="I1" s="10"/>
    </row>
    <row r="2" spans="1:9" s="14" customFormat="1" ht="13" customHeight="1">
      <c r="A2" s="12" t="s">
        <v>477</v>
      </c>
      <c r="B2" s="13"/>
      <c r="C2" s="13"/>
      <c r="D2" s="13"/>
      <c r="E2" s="13"/>
      <c r="F2" s="13"/>
      <c r="G2" s="10"/>
      <c r="H2" s="10"/>
      <c r="I2" s="10"/>
    </row>
    <row r="3" spans="1:9" s="14" customFormat="1" ht="13" customHeight="1">
      <c r="A3" s="12" t="s">
        <v>0</v>
      </c>
      <c r="B3" s="13"/>
      <c r="C3" s="13"/>
      <c r="D3" s="13"/>
      <c r="E3" s="13"/>
      <c r="F3" s="13"/>
      <c r="G3" s="10"/>
      <c r="H3" s="10"/>
      <c r="I3" s="10"/>
    </row>
    <row r="4" spans="1:9" s="14" customFormat="1" ht="13" customHeight="1">
      <c r="A4" s="12" t="s">
        <v>1</v>
      </c>
      <c r="B4" s="13"/>
      <c r="C4" s="13"/>
      <c r="D4" s="13"/>
      <c r="E4" s="13"/>
      <c r="F4" s="13"/>
      <c r="G4" s="10"/>
      <c r="H4" s="10"/>
      <c r="I4" s="10"/>
    </row>
    <row r="5" spans="1:9" s="14" customFormat="1" ht="7.5" customHeight="1" thickBot="1">
      <c r="A5" s="15"/>
      <c r="B5" s="15"/>
      <c r="C5" s="15"/>
      <c r="D5" s="15"/>
      <c r="E5" s="15"/>
      <c r="F5" s="15"/>
      <c r="G5" s="16"/>
      <c r="H5" s="16"/>
      <c r="I5" s="16"/>
    </row>
    <row r="6" spans="1:9" s="14" customFormat="1" ht="16.5">
      <c r="A6" s="12" t="s">
        <v>476</v>
      </c>
      <c r="B6" s="13"/>
      <c r="C6" s="17" t="s">
        <v>2</v>
      </c>
      <c r="D6" s="13"/>
      <c r="E6" s="13"/>
      <c r="F6" s="13"/>
      <c r="G6" s="10"/>
      <c r="H6" s="10"/>
      <c r="I6" s="10"/>
    </row>
    <row r="7" spans="1:9" s="14" customFormat="1" ht="13" customHeight="1">
      <c r="A7" s="12" t="s">
        <v>3</v>
      </c>
      <c r="B7" s="13"/>
      <c r="C7" s="13"/>
      <c r="D7" s="13"/>
      <c r="E7" s="13"/>
      <c r="F7" s="13"/>
      <c r="G7" s="10"/>
      <c r="H7" s="10"/>
      <c r="I7" s="10"/>
    </row>
    <row r="8" spans="1:9" s="14" customFormat="1" ht="13" customHeight="1">
      <c r="A8" s="12" t="s">
        <v>4</v>
      </c>
      <c r="B8" s="13"/>
      <c r="C8" s="13"/>
      <c r="D8" s="13"/>
      <c r="E8" s="13"/>
      <c r="F8" s="13"/>
      <c r="G8" s="10"/>
      <c r="H8" s="10"/>
      <c r="I8" s="10"/>
    </row>
    <row r="9" spans="1:9" s="18" customFormat="1" ht="42" customHeight="1">
      <c r="A9" s="67" t="s">
        <v>472</v>
      </c>
      <c r="B9" s="67"/>
      <c r="C9" s="67"/>
      <c r="D9" s="67"/>
      <c r="E9" s="67"/>
      <c r="F9" s="67"/>
      <c r="G9" s="67"/>
      <c r="H9" s="67"/>
      <c r="I9" s="67"/>
    </row>
    <row r="10" spans="1:9" ht="22.5" customHeight="1" thickBot="1">
      <c r="A10" s="68" t="s">
        <v>5</v>
      </c>
      <c r="B10" s="68"/>
      <c r="C10" s="68"/>
      <c r="D10" s="68"/>
      <c r="E10" s="68"/>
      <c r="F10" s="68"/>
      <c r="G10" s="68"/>
      <c r="H10" s="68"/>
      <c r="I10" s="68"/>
    </row>
    <row r="11" spans="1:9" ht="36.75" customHeight="1" thickTop="1">
      <c r="A11" s="20" t="s">
        <v>473</v>
      </c>
      <c r="B11" s="21" t="s">
        <v>474</v>
      </c>
      <c r="C11" s="22" t="s">
        <v>478</v>
      </c>
      <c r="D11" s="23" t="s">
        <v>479</v>
      </c>
      <c r="E11" s="23" t="s">
        <v>480</v>
      </c>
      <c r="F11" s="23" t="s">
        <v>485</v>
      </c>
      <c r="G11" s="23" t="s">
        <v>481</v>
      </c>
      <c r="H11" s="23" t="s">
        <v>482</v>
      </c>
      <c r="I11" s="24" t="s">
        <v>483</v>
      </c>
    </row>
    <row r="12" spans="1:9" ht="12" customHeight="1">
      <c r="A12" s="55">
        <v>46274</v>
      </c>
      <c r="B12" s="65" t="s">
        <v>6</v>
      </c>
      <c r="C12" s="57" t="s">
        <v>475</v>
      </c>
      <c r="D12" s="57">
        <v>1500000</v>
      </c>
      <c r="E12" s="57">
        <v>120000</v>
      </c>
      <c r="F12" s="57">
        <f>+D12+E12</f>
        <v>1620000</v>
      </c>
      <c r="G12" s="1" t="s">
        <v>8</v>
      </c>
      <c r="H12" s="8" t="s">
        <v>9</v>
      </c>
      <c r="I12" s="58" t="s">
        <v>10</v>
      </c>
    </row>
    <row r="13" spans="1:9" ht="12" customHeight="1">
      <c r="A13" s="55"/>
      <c r="B13" s="65"/>
      <c r="C13" s="57" t="s">
        <v>7</v>
      </c>
      <c r="D13" s="57"/>
      <c r="E13" s="57"/>
      <c r="F13" s="57"/>
      <c r="G13" s="1" t="s">
        <v>11</v>
      </c>
      <c r="H13" s="8" t="s">
        <v>12</v>
      </c>
      <c r="I13" s="58"/>
    </row>
    <row r="14" spans="1:9" ht="12" customHeight="1">
      <c r="A14" s="55"/>
      <c r="B14" s="65"/>
      <c r="C14" s="57" t="s">
        <v>7</v>
      </c>
      <c r="D14" s="57"/>
      <c r="E14" s="57"/>
      <c r="F14" s="57"/>
      <c r="G14" s="1" t="s">
        <v>13</v>
      </c>
      <c r="H14" s="8" t="s">
        <v>14</v>
      </c>
      <c r="I14" s="58"/>
    </row>
    <row r="15" spans="1:9" ht="12" customHeight="1">
      <c r="A15" s="55"/>
      <c r="B15" s="65"/>
      <c r="C15" s="57" t="s">
        <v>7</v>
      </c>
      <c r="D15" s="57"/>
      <c r="E15" s="57"/>
      <c r="F15" s="57"/>
      <c r="G15" s="1" t="s">
        <v>15</v>
      </c>
      <c r="H15" s="8" t="s">
        <v>16</v>
      </c>
      <c r="I15" s="58"/>
    </row>
    <row r="16" spans="1:9" ht="12" customHeight="1">
      <c r="A16" s="55"/>
      <c r="B16" s="65"/>
      <c r="C16" s="57" t="s">
        <v>7</v>
      </c>
      <c r="D16" s="57"/>
      <c r="E16" s="57"/>
      <c r="F16" s="57"/>
      <c r="G16" s="1" t="s">
        <v>17</v>
      </c>
      <c r="H16" s="8" t="s">
        <v>18</v>
      </c>
      <c r="I16" s="58"/>
    </row>
    <row r="17" spans="1:9" ht="12" customHeight="1">
      <c r="A17" s="55"/>
      <c r="B17" s="65"/>
      <c r="C17" s="57" t="s">
        <v>7</v>
      </c>
      <c r="D17" s="57"/>
      <c r="E17" s="57"/>
      <c r="F17" s="57"/>
      <c r="G17" s="1" t="s">
        <v>19</v>
      </c>
      <c r="H17" s="8" t="s">
        <v>20</v>
      </c>
      <c r="I17" s="58"/>
    </row>
    <row r="18" spans="1:9" ht="12" customHeight="1">
      <c r="A18" s="55">
        <v>46283</v>
      </c>
      <c r="B18" s="66" t="s">
        <v>21</v>
      </c>
      <c r="C18" s="57" t="s">
        <v>7</v>
      </c>
      <c r="D18" s="57">
        <v>1824074</v>
      </c>
      <c r="E18" s="57">
        <v>145926</v>
      </c>
      <c r="F18" s="57">
        <f t="shared" ref="F18:F24" si="0">+D18+E18</f>
        <v>1970000</v>
      </c>
      <c r="G18" s="1" t="s">
        <v>8</v>
      </c>
      <c r="H18" s="8" t="s">
        <v>9</v>
      </c>
      <c r="I18" s="58" t="s">
        <v>10</v>
      </c>
    </row>
    <row r="19" spans="1:9" ht="12" customHeight="1">
      <c r="A19" s="55"/>
      <c r="B19" s="65"/>
      <c r="C19" s="57" t="s">
        <v>7</v>
      </c>
      <c r="D19" s="57"/>
      <c r="E19" s="57"/>
      <c r="F19" s="57">
        <f t="shared" si="0"/>
        <v>0</v>
      </c>
      <c r="G19" s="1" t="s">
        <v>11</v>
      </c>
      <c r="H19" s="8" t="s">
        <v>12</v>
      </c>
      <c r="I19" s="58"/>
    </row>
    <row r="20" spans="1:9" ht="12" customHeight="1">
      <c r="A20" s="55"/>
      <c r="B20" s="65"/>
      <c r="C20" s="57" t="s">
        <v>7</v>
      </c>
      <c r="D20" s="57"/>
      <c r="E20" s="57"/>
      <c r="F20" s="57">
        <f t="shared" si="0"/>
        <v>0</v>
      </c>
      <c r="G20" s="1" t="s">
        <v>13</v>
      </c>
      <c r="H20" s="8" t="s">
        <v>14</v>
      </c>
      <c r="I20" s="58"/>
    </row>
    <row r="21" spans="1:9" ht="12" customHeight="1">
      <c r="A21" s="55"/>
      <c r="B21" s="65"/>
      <c r="C21" s="57" t="s">
        <v>7</v>
      </c>
      <c r="D21" s="57"/>
      <c r="E21" s="57"/>
      <c r="F21" s="57">
        <f t="shared" si="0"/>
        <v>0</v>
      </c>
      <c r="G21" s="1" t="s">
        <v>15</v>
      </c>
      <c r="H21" s="8" t="s">
        <v>16</v>
      </c>
      <c r="I21" s="58"/>
    </row>
    <row r="22" spans="1:9" ht="12" customHeight="1">
      <c r="A22" s="55"/>
      <c r="B22" s="65"/>
      <c r="C22" s="57" t="s">
        <v>7</v>
      </c>
      <c r="D22" s="57"/>
      <c r="E22" s="57"/>
      <c r="F22" s="57">
        <f t="shared" si="0"/>
        <v>0</v>
      </c>
      <c r="G22" s="1" t="s">
        <v>17</v>
      </c>
      <c r="H22" s="8" t="s">
        <v>18</v>
      </c>
      <c r="I22" s="58"/>
    </row>
    <row r="23" spans="1:9" ht="12" customHeight="1">
      <c r="A23" s="55"/>
      <c r="B23" s="65"/>
      <c r="C23" s="57" t="s">
        <v>7</v>
      </c>
      <c r="D23" s="57"/>
      <c r="E23" s="57"/>
      <c r="F23" s="57">
        <f t="shared" si="0"/>
        <v>0</v>
      </c>
      <c r="G23" s="1" t="s">
        <v>19</v>
      </c>
      <c r="H23" s="8" t="s">
        <v>20</v>
      </c>
      <c r="I23" s="58"/>
    </row>
    <row r="24" spans="1:9" ht="12" customHeight="1">
      <c r="A24" s="55">
        <v>46280</v>
      </c>
      <c r="B24" s="66" t="s">
        <v>22</v>
      </c>
      <c r="C24" s="57" t="s">
        <v>7</v>
      </c>
      <c r="D24" s="57">
        <v>1416667</v>
      </c>
      <c r="E24" s="57">
        <v>113333</v>
      </c>
      <c r="F24" s="57">
        <f t="shared" si="0"/>
        <v>1530000</v>
      </c>
      <c r="G24" s="1" t="s">
        <v>23</v>
      </c>
      <c r="H24" s="2" t="s">
        <v>24</v>
      </c>
      <c r="I24" s="58" t="s">
        <v>25</v>
      </c>
    </row>
    <row r="25" spans="1:9" ht="12" customHeight="1">
      <c r="A25" s="55"/>
      <c r="B25" s="65"/>
      <c r="C25" s="57" t="s">
        <v>7</v>
      </c>
      <c r="D25" s="57"/>
      <c r="E25" s="57"/>
      <c r="F25" s="57"/>
      <c r="G25" s="1" t="s">
        <v>26</v>
      </c>
      <c r="H25" s="2" t="s">
        <v>27</v>
      </c>
      <c r="I25" s="58"/>
    </row>
    <row r="26" spans="1:9" ht="12" customHeight="1">
      <c r="A26" s="55"/>
      <c r="B26" s="65"/>
      <c r="C26" s="57" t="s">
        <v>7</v>
      </c>
      <c r="D26" s="57"/>
      <c r="E26" s="57"/>
      <c r="F26" s="57"/>
      <c r="G26" s="1" t="s">
        <v>28</v>
      </c>
      <c r="H26" s="2" t="s">
        <v>29</v>
      </c>
      <c r="I26" s="58"/>
    </row>
    <row r="27" spans="1:9" ht="12" customHeight="1">
      <c r="A27" s="55"/>
      <c r="B27" s="65"/>
      <c r="C27" s="57" t="s">
        <v>7</v>
      </c>
      <c r="D27" s="57"/>
      <c r="E27" s="57"/>
      <c r="F27" s="57"/>
      <c r="G27" s="1" t="s">
        <v>30</v>
      </c>
      <c r="H27" s="2" t="s">
        <v>31</v>
      </c>
      <c r="I27" s="58"/>
    </row>
    <row r="28" spans="1:9" ht="12" customHeight="1">
      <c r="A28" s="55"/>
      <c r="B28" s="65"/>
      <c r="C28" s="57" t="s">
        <v>7</v>
      </c>
      <c r="D28" s="57"/>
      <c r="E28" s="57"/>
      <c r="F28" s="57"/>
      <c r="G28" s="1" t="s">
        <v>32</v>
      </c>
      <c r="H28" s="2" t="s">
        <v>33</v>
      </c>
      <c r="I28" s="58"/>
    </row>
    <row r="29" spans="1:9" ht="12" customHeight="1">
      <c r="A29" s="55"/>
      <c r="B29" s="65"/>
      <c r="C29" s="57" t="s">
        <v>7</v>
      </c>
      <c r="D29" s="57"/>
      <c r="E29" s="57"/>
      <c r="F29" s="57"/>
      <c r="G29" s="1" t="s">
        <v>34</v>
      </c>
      <c r="H29" s="2" t="s">
        <v>35</v>
      </c>
      <c r="I29" s="58"/>
    </row>
    <row r="30" spans="1:9" ht="12" customHeight="1">
      <c r="A30" s="55"/>
      <c r="B30" s="65"/>
      <c r="C30" s="57" t="s">
        <v>7</v>
      </c>
      <c r="D30" s="57"/>
      <c r="E30" s="57"/>
      <c r="F30" s="57"/>
      <c r="G30" s="1" t="s">
        <v>36</v>
      </c>
      <c r="H30" s="2" t="s">
        <v>37</v>
      </c>
      <c r="I30" s="58"/>
    </row>
    <row r="31" spans="1:9" ht="12" customHeight="1">
      <c r="A31" s="55"/>
      <c r="B31" s="65"/>
      <c r="C31" s="57" t="s">
        <v>7</v>
      </c>
      <c r="D31" s="57"/>
      <c r="E31" s="57"/>
      <c r="F31" s="57"/>
      <c r="G31" s="1" t="s">
        <v>38</v>
      </c>
      <c r="H31" s="2" t="s">
        <v>39</v>
      </c>
      <c r="I31" s="58"/>
    </row>
    <row r="32" spans="1:9" ht="12" customHeight="1">
      <c r="A32" s="55"/>
      <c r="B32" s="65"/>
      <c r="C32" s="57" t="s">
        <v>7</v>
      </c>
      <c r="D32" s="57"/>
      <c r="E32" s="57"/>
      <c r="F32" s="57"/>
      <c r="G32" s="1" t="s">
        <v>40</v>
      </c>
      <c r="H32" s="2" t="s">
        <v>41</v>
      </c>
      <c r="I32" s="58"/>
    </row>
    <row r="33" spans="1:9" ht="12" customHeight="1">
      <c r="A33" s="55"/>
      <c r="B33" s="65"/>
      <c r="C33" s="57" t="s">
        <v>7</v>
      </c>
      <c r="D33" s="57"/>
      <c r="E33" s="57"/>
      <c r="F33" s="57"/>
      <c r="G33" s="1" t="s">
        <v>42</v>
      </c>
      <c r="H33" s="2" t="s">
        <v>43</v>
      </c>
      <c r="I33" s="58"/>
    </row>
    <row r="34" spans="1:9" ht="12" customHeight="1">
      <c r="A34" s="55"/>
      <c r="B34" s="65"/>
      <c r="C34" s="57" t="s">
        <v>7</v>
      </c>
      <c r="D34" s="57"/>
      <c r="E34" s="57"/>
      <c r="F34" s="57"/>
      <c r="G34" s="1" t="s">
        <v>44</v>
      </c>
      <c r="H34" s="2" t="s">
        <v>45</v>
      </c>
      <c r="I34" s="58"/>
    </row>
    <row r="35" spans="1:9" ht="12" customHeight="1">
      <c r="A35" s="55"/>
      <c r="B35" s="65"/>
      <c r="C35" s="57" t="s">
        <v>7</v>
      </c>
      <c r="D35" s="57"/>
      <c r="E35" s="57"/>
      <c r="F35" s="57"/>
      <c r="G35" s="1" t="s">
        <v>46</v>
      </c>
      <c r="H35" s="2" t="s">
        <v>47</v>
      </c>
      <c r="I35" s="58"/>
    </row>
    <row r="36" spans="1:9" ht="12" customHeight="1">
      <c r="A36" s="55">
        <v>46283</v>
      </c>
      <c r="B36" s="65">
        <v>21266</v>
      </c>
      <c r="C36" s="57" t="s">
        <v>7</v>
      </c>
      <c r="D36" s="57">
        <v>1648148</v>
      </c>
      <c r="E36" s="57">
        <v>131852</v>
      </c>
      <c r="F36" s="57">
        <f t="shared" ref="F36:F47" si="1">+D36+E36</f>
        <v>1780000</v>
      </c>
      <c r="G36" s="1" t="s">
        <v>23</v>
      </c>
      <c r="H36" s="2" t="s">
        <v>24</v>
      </c>
      <c r="I36" s="58" t="s">
        <v>25</v>
      </c>
    </row>
    <row r="37" spans="1:9" ht="12" customHeight="1">
      <c r="A37" s="55"/>
      <c r="B37" s="65"/>
      <c r="C37" s="57" t="s">
        <v>7</v>
      </c>
      <c r="D37" s="57"/>
      <c r="E37" s="57"/>
      <c r="F37" s="57">
        <f t="shared" si="1"/>
        <v>0</v>
      </c>
      <c r="G37" s="1" t="s">
        <v>26</v>
      </c>
      <c r="H37" s="2" t="s">
        <v>27</v>
      </c>
      <c r="I37" s="58"/>
    </row>
    <row r="38" spans="1:9" ht="12" customHeight="1">
      <c r="A38" s="55"/>
      <c r="B38" s="65"/>
      <c r="C38" s="57" t="s">
        <v>7</v>
      </c>
      <c r="D38" s="57"/>
      <c r="E38" s="57"/>
      <c r="F38" s="57">
        <f t="shared" si="1"/>
        <v>0</v>
      </c>
      <c r="G38" s="1" t="s">
        <v>28</v>
      </c>
      <c r="H38" s="2" t="s">
        <v>29</v>
      </c>
      <c r="I38" s="58"/>
    </row>
    <row r="39" spans="1:9" ht="12" customHeight="1">
      <c r="A39" s="55"/>
      <c r="B39" s="65"/>
      <c r="C39" s="57" t="s">
        <v>7</v>
      </c>
      <c r="D39" s="57"/>
      <c r="E39" s="57"/>
      <c r="F39" s="57">
        <f t="shared" si="1"/>
        <v>0</v>
      </c>
      <c r="G39" s="1" t="s">
        <v>30</v>
      </c>
      <c r="H39" s="2" t="s">
        <v>31</v>
      </c>
      <c r="I39" s="58"/>
    </row>
    <row r="40" spans="1:9" ht="12" customHeight="1">
      <c r="A40" s="55"/>
      <c r="B40" s="65"/>
      <c r="C40" s="57" t="s">
        <v>7</v>
      </c>
      <c r="D40" s="57"/>
      <c r="E40" s="57"/>
      <c r="F40" s="57">
        <f t="shared" si="1"/>
        <v>0</v>
      </c>
      <c r="G40" s="1" t="s">
        <v>32</v>
      </c>
      <c r="H40" s="2" t="s">
        <v>33</v>
      </c>
      <c r="I40" s="58"/>
    </row>
    <row r="41" spans="1:9" ht="12" customHeight="1">
      <c r="A41" s="55"/>
      <c r="B41" s="65"/>
      <c r="C41" s="57" t="s">
        <v>7</v>
      </c>
      <c r="D41" s="57"/>
      <c r="E41" s="57"/>
      <c r="F41" s="57">
        <f t="shared" si="1"/>
        <v>0</v>
      </c>
      <c r="G41" s="1" t="s">
        <v>34</v>
      </c>
      <c r="H41" s="2" t="s">
        <v>35</v>
      </c>
      <c r="I41" s="58"/>
    </row>
    <row r="42" spans="1:9" ht="12" customHeight="1">
      <c r="A42" s="55"/>
      <c r="B42" s="65"/>
      <c r="C42" s="57" t="s">
        <v>7</v>
      </c>
      <c r="D42" s="57"/>
      <c r="E42" s="57"/>
      <c r="F42" s="57">
        <f t="shared" si="1"/>
        <v>0</v>
      </c>
      <c r="G42" s="1" t="s">
        <v>36</v>
      </c>
      <c r="H42" s="2" t="s">
        <v>37</v>
      </c>
      <c r="I42" s="58"/>
    </row>
    <row r="43" spans="1:9" ht="12" customHeight="1">
      <c r="A43" s="55"/>
      <c r="B43" s="65"/>
      <c r="C43" s="57" t="s">
        <v>7</v>
      </c>
      <c r="D43" s="57"/>
      <c r="E43" s="57"/>
      <c r="F43" s="57">
        <f t="shared" si="1"/>
        <v>0</v>
      </c>
      <c r="G43" s="1" t="s">
        <v>38</v>
      </c>
      <c r="H43" s="2" t="s">
        <v>39</v>
      </c>
      <c r="I43" s="58"/>
    </row>
    <row r="44" spans="1:9" ht="12" customHeight="1">
      <c r="A44" s="55"/>
      <c r="B44" s="65"/>
      <c r="C44" s="57" t="s">
        <v>7</v>
      </c>
      <c r="D44" s="57"/>
      <c r="E44" s="57"/>
      <c r="F44" s="57">
        <f t="shared" si="1"/>
        <v>0</v>
      </c>
      <c r="G44" s="1" t="s">
        <v>40</v>
      </c>
      <c r="H44" s="2" t="s">
        <v>41</v>
      </c>
      <c r="I44" s="58"/>
    </row>
    <row r="45" spans="1:9" ht="12" customHeight="1">
      <c r="A45" s="55"/>
      <c r="B45" s="65"/>
      <c r="C45" s="57" t="s">
        <v>7</v>
      </c>
      <c r="D45" s="57"/>
      <c r="E45" s="57"/>
      <c r="F45" s="57">
        <f t="shared" si="1"/>
        <v>0</v>
      </c>
      <c r="G45" s="1" t="s">
        <v>42</v>
      </c>
      <c r="H45" s="2" t="s">
        <v>43</v>
      </c>
      <c r="I45" s="58"/>
    </row>
    <row r="46" spans="1:9" ht="12" customHeight="1">
      <c r="A46" s="55"/>
      <c r="B46" s="65"/>
      <c r="C46" s="57" t="s">
        <v>7</v>
      </c>
      <c r="D46" s="57"/>
      <c r="E46" s="57"/>
      <c r="F46" s="57">
        <f t="shared" si="1"/>
        <v>0</v>
      </c>
      <c r="G46" s="1" t="s">
        <v>44</v>
      </c>
      <c r="H46" s="2" t="s">
        <v>45</v>
      </c>
      <c r="I46" s="58"/>
    </row>
    <row r="47" spans="1:9" ht="12" customHeight="1">
      <c r="A47" s="55"/>
      <c r="B47" s="65"/>
      <c r="C47" s="57" t="s">
        <v>7</v>
      </c>
      <c r="D47" s="57"/>
      <c r="E47" s="57"/>
      <c r="F47" s="57">
        <f t="shared" si="1"/>
        <v>0</v>
      </c>
      <c r="G47" s="1" t="s">
        <v>46</v>
      </c>
      <c r="H47" s="2" t="s">
        <v>47</v>
      </c>
      <c r="I47" s="58"/>
    </row>
    <row r="48" spans="1:9" ht="12" customHeight="1">
      <c r="A48" s="55">
        <v>46279</v>
      </c>
      <c r="B48" s="57" t="s">
        <v>48</v>
      </c>
      <c r="C48" s="57" t="s">
        <v>49</v>
      </c>
      <c r="D48" s="57">
        <v>1683056</v>
      </c>
      <c r="E48" s="57">
        <v>134644</v>
      </c>
      <c r="F48" s="57">
        <f>+D48+E48</f>
        <v>1817700</v>
      </c>
      <c r="G48" s="1" t="s">
        <v>50</v>
      </c>
      <c r="H48" s="7" t="s">
        <v>51</v>
      </c>
      <c r="I48" s="58" t="s">
        <v>52</v>
      </c>
    </row>
    <row r="49" spans="1:9" ht="12" customHeight="1">
      <c r="A49" s="55"/>
      <c r="B49" s="57"/>
      <c r="C49" s="57" t="s">
        <v>49</v>
      </c>
      <c r="D49" s="57"/>
      <c r="E49" s="57"/>
      <c r="F49" s="57"/>
      <c r="G49" s="1" t="s">
        <v>53</v>
      </c>
      <c r="H49" s="7" t="s">
        <v>54</v>
      </c>
      <c r="I49" s="58"/>
    </row>
    <row r="50" spans="1:9" ht="12" customHeight="1">
      <c r="A50" s="55"/>
      <c r="B50" s="57"/>
      <c r="C50" s="57" t="s">
        <v>49</v>
      </c>
      <c r="D50" s="57"/>
      <c r="E50" s="57"/>
      <c r="F50" s="57"/>
      <c r="G50" s="1" t="s">
        <v>55</v>
      </c>
      <c r="H50" s="7" t="s">
        <v>56</v>
      </c>
      <c r="I50" s="58"/>
    </row>
    <row r="51" spans="1:9" ht="12" customHeight="1">
      <c r="A51" s="55"/>
      <c r="B51" s="57"/>
      <c r="C51" s="57" t="s">
        <v>49</v>
      </c>
      <c r="D51" s="57"/>
      <c r="E51" s="57"/>
      <c r="F51" s="57"/>
      <c r="G51" s="1" t="s">
        <v>57</v>
      </c>
      <c r="H51" s="7" t="s">
        <v>58</v>
      </c>
      <c r="I51" s="58"/>
    </row>
    <row r="52" spans="1:9" ht="12" customHeight="1">
      <c r="A52" s="55"/>
      <c r="B52" s="57"/>
      <c r="C52" s="57" t="s">
        <v>49</v>
      </c>
      <c r="D52" s="57"/>
      <c r="E52" s="57"/>
      <c r="F52" s="57"/>
      <c r="G52" s="1" t="s">
        <v>59</v>
      </c>
      <c r="H52" s="7" t="s">
        <v>60</v>
      </c>
      <c r="I52" s="58"/>
    </row>
    <row r="53" spans="1:9" ht="12" customHeight="1">
      <c r="A53" s="55"/>
      <c r="B53" s="57"/>
      <c r="C53" s="57" t="s">
        <v>49</v>
      </c>
      <c r="D53" s="57"/>
      <c r="E53" s="57"/>
      <c r="F53" s="57"/>
      <c r="G53" s="1" t="s">
        <v>61</v>
      </c>
      <c r="H53" s="7" t="s">
        <v>62</v>
      </c>
      <c r="I53" s="58"/>
    </row>
    <row r="54" spans="1:9" ht="12" customHeight="1">
      <c r="A54" s="55">
        <v>46281</v>
      </c>
      <c r="B54" s="57" t="s">
        <v>63</v>
      </c>
      <c r="C54" s="57" t="s">
        <v>49</v>
      </c>
      <c r="D54" s="57">
        <v>1500000</v>
      </c>
      <c r="E54" s="57">
        <v>120000</v>
      </c>
      <c r="F54" s="57">
        <f>+D54+E54</f>
        <v>1620000</v>
      </c>
      <c r="G54" s="1" t="s">
        <v>50</v>
      </c>
      <c r="H54" s="7" t="s">
        <v>51</v>
      </c>
      <c r="I54" s="58" t="s">
        <v>52</v>
      </c>
    </row>
    <row r="55" spans="1:9" ht="12" customHeight="1">
      <c r="A55" s="55"/>
      <c r="B55" s="57"/>
      <c r="C55" s="57" t="s">
        <v>49</v>
      </c>
      <c r="D55" s="57"/>
      <c r="E55" s="57"/>
      <c r="F55" s="57">
        <f t="shared" ref="F55:F181" si="2">+D55+E55</f>
        <v>0</v>
      </c>
      <c r="G55" s="1" t="s">
        <v>53</v>
      </c>
      <c r="H55" s="7" t="s">
        <v>54</v>
      </c>
      <c r="I55" s="58"/>
    </row>
    <row r="56" spans="1:9" ht="12" customHeight="1">
      <c r="A56" s="55"/>
      <c r="B56" s="57"/>
      <c r="C56" s="57" t="s">
        <v>49</v>
      </c>
      <c r="D56" s="57"/>
      <c r="E56" s="57"/>
      <c r="F56" s="57">
        <f t="shared" si="2"/>
        <v>0</v>
      </c>
      <c r="G56" s="1" t="s">
        <v>55</v>
      </c>
      <c r="H56" s="7" t="s">
        <v>56</v>
      </c>
      <c r="I56" s="58"/>
    </row>
    <row r="57" spans="1:9" ht="12" customHeight="1">
      <c r="A57" s="55"/>
      <c r="B57" s="57"/>
      <c r="C57" s="57" t="s">
        <v>49</v>
      </c>
      <c r="D57" s="57"/>
      <c r="E57" s="57"/>
      <c r="F57" s="57">
        <f t="shared" si="2"/>
        <v>0</v>
      </c>
      <c r="G57" s="1" t="s">
        <v>57</v>
      </c>
      <c r="H57" s="7" t="s">
        <v>58</v>
      </c>
      <c r="I57" s="58"/>
    </row>
    <row r="58" spans="1:9" ht="12" customHeight="1">
      <c r="A58" s="55"/>
      <c r="B58" s="57"/>
      <c r="C58" s="57" t="s">
        <v>49</v>
      </c>
      <c r="D58" s="57"/>
      <c r="E58" s="57"/>
      <c r="F58" s="57">
        <f t="shared" si="2"/>
        <v>0</v>
      </c>
      <c r="G58" s="1" t="s">
        <v>59</v>
      </c>
      <c r="H58" s="7" t="s">
        <v>60</v>
      </c>
      <c r="I58" s="58"/>
    </row>
    <row r="59" spans="1:9" ht="12" customHeight="1">
      <c r="A59" s="55"/>
      <c r="B59" s="57"/>
      <c r="C59" s="57" t="s">
        <v>49</v>
      </c>
      <c r="D59" s="57"/>
      <c r="E59" s="57"/>
      <c r="F59" s="57">
        <f t="shared" si="2"/>
        <v>0</v>
      </c>
      <c r="G59" s="1" t="s">
        <v>61</v>
      </c>
      <c r="H59" s="7" t="s">
        <v>62</v>
      </c>
      <c r="I59" s="58"/>
    </row>
    <row r="60" spans="1:9" ht="12" customHeight="1">
      <c r="A60" s="55">
        <v>46279</v>
      </c>
      <c r="B60" s="57" t="s">
        <v>64</v>
      </c>
      <c r="C60" s="57" t="s">
        <v>49</v>
      </c>
      <c r="D60" s="57">
        <v>1782407</v>
      </c>
      <c r="E60" s="57">
        <v>142593</v>
      </c>
      <c r="F60" s="57">
        <f>+D60+E60</f>
        <v>1925000</v>
      </c>
      <c r="G60" s="1" t="s">
        <v>65</v>
      </c>
      <c r="H60" s="7" t="s">
        <v>66</v>
      </c>
      <c r="I60" s="58" t="s">
        <v>67</v>
      </c>
    </row>
    <row r="61" spans="1:9" ht="12" customHeight="1">
      <c r="A61" s="55"/>
      <c r="B61" s="57"/>
      <c r="C61" s="57" t="s">
        <v>49</v>
      </c>
      <c r="D61" s="57"/>
      <c r="E61" s="57"/>
      <c r="F61" s="57"/>
      <c r="G61" s="1" t="s">
        <v>68</v>
      </c>
      <c r="H61" s="7" t="s">
        <v>69</v>
      </c>
      <c r="I61" s="58"/>
    </row>
    <row r="62" spans="1:9" ht="12" customHeight="1">
      <c r="A62" s="55"/>
      <c r="B62" s="57"/>
      <c r="C62" s="57" t="s">
        <v>49</v>
      </c>
      <c r="D62" s="57"/>
      <c r="E62" s="57"/>
      <c r="F62" s="57"/>
      <c r="G62" s="1" t="s">
        <v>70</v>
      </c>
      <c r="H62" s="7" t="s">
        <v>71</v>
      </c>
      <c r="I62" s="58"/>
    </row>
    <row r="63" spans="1:9" ht="12" customHeight="1">
      <c r="A63" s="55"/>
      <c r="B63" s="57"/>
      <c r="C63" s="57" t="s">
        <v>49</v>
      </c>
      <c r="D63" s="57"/>
      <c r="E63" s="57"/>
      <c r="F63" s="57"/>
      <c r="G63" s="1" t="s">
        <v>72</v>
      </c>
      <c r="H63" s="7" t="s">
        <v>73</v>
      </c>
      <c r="I63" s="58"/>
    </row>
    <row r="64" spans="1:9" ht="12" customHeight="1">
      <c r="A64" s="55"/>
      <c r="B64" s="57"/>
      <c r="C64" s="57" t="s">
        <v>49</v>
      </c>
      <c r="D64" s="57"/>
      <c r="E64" s="57"/>
      <c r="F64" s="57"/>
      <c r="G64" s="1" t="s">
        <v>74</v>
      </c>
      <c r="H64" s="25" t="s">
        <v>75</v>
      </c>
      <c r="I64" s="58"/>
    </row>
    <row r="65" spans="1:9" ht="12" customHeight="1">
      <c r="A65" s="55">
        <v>46281</v>
      </c>
      <c r="B65" s="57" t="s">
        <v>76</v>
      </c>
      <c r="C65" s="57" t="s">
        <v>49</v>
      </c>
      <c r="D65" s="57">
        <v>985185</v>
      </c>
      <c r="E65" s="57">
        <v>78815</v>
      </c>
      <c r="F65" s="57">
        <f t="shared" si="2"/>
        <v>1064000</v>
      </c>
      <c r="G65" s="1" t="s">
        <v>65</v>
      </c>
      <c r="H65" s="7" t="s">
        <v>66</v>
      </c>
      <c r="I65" s="58" t="s">
        <v>67</v>
      </c>
    </row>
    <row r="66" spans="1:9" ht="12" customHeight="1">
      <c r="A66" s="55"/>
      <c r="B66" s="57"/>
      <c r="C66" s="57" t="s">
        <v>49</v>
      </c>
      <c r="D66" s="57"/>
      <c r="E66" s="57"/>
      <c r="F66" s="57">
        <f t="shared" si="2"/>
        <v>0</v>
      </c>
      <c r="G66" s="1" t="s">
        <v>68</v>
      </c>
      <c r="H66" s="7" t="s">
        <v>69</v>
      </c>
      <c r="I66" s="58"/>
    </row>
    <row r="67" spans="1:9" ht="12" customHeight="1">
      <c r="A67" s="55"/>
      <c r="B67" s="57"/>
      <c r="C67" s="57" t="s">
        <v>49</v>
      </c>
      <c r="D67" s="57"/>
      <c r="E67" s="57"/>
      <c r="F67" s="57">
        <f t="shared" si="2"/>
        <v>0</v>
      </c>
      <c r="G67" s="1" t="s">
        <v>70</v>
      </c>
      <c r="H67" s="7" t="s">
        <v>71</v>
      </c>
      <c r="I67" s="58"/>
    </row>
    <row r="68" spans="1:9" ht="12" customHeight="1">
      <c r="A68" s="55"/>
      <c r="B68" s="57"/>
      <c r="C68" s="57" t="s">
        <v>49</v>
      </c>
      <c r="D68" s="57"/>
      <c r="E68" s="57"/>
      <c r="F68" s="57">
        <f t="shared" si="2"/>
        <v>0</v>
      </c>
      <c r="G68" s="1" t="s">
        <v>72</v>
      </c>
      <c r="H68" s="7" t="s">
        <v>73</v>
      </c>
      <c r="I68" s="58"/>
    </row>
    <row r="69" spans="1:9" ht="12" customHeight="1">
      <c r="A69" s="55"/>
      <c r="B69" s="57"/>
      <c r="C69" s="57" t="s">
        <v>49</v>
      </c>
      <c r="D69" s="57"/>
      <c r="E69" s="57"/>
      <c r="F69" s="57">
        <f t="shared" si="2"/>
        <v>0</v>
      </c>
      <c r="G69" s="1" t="s">
        <v>74</v>
      </c>
      <c r="H69" s="25" t="s">
        <v>75</v>
      </c>
      <c r="I69" s="58"/>
    </row>
    <row r="70" spans="1:9" ht="12" customHeight="1">
      <c r="A70" s="55">
        <v>46278</v>
      </c>
      <c r="B70" s="56">
        <v>125689</v>
      </c>
      <c r="C70" s="57" t="s">
        <v>49</v>
      </c>
      <c r="D70" s="57">
        <v>1600000</v>
      </c>
      <c r="E70" s="57">
        <v>128000</v>
      </c>
      <c r="F70" s="57">
        <f>+D70+E70</f>
        <v>1728000</v>
      </c>
      <c r="G70" s="1" t="s">
        <v>77</v>
      </c>
      <c r="H70" s="25" t="s">
        <v>78</v>
      </c>
      <c r="I70" s="58" t="s">
        <v>79</v>
      </c>
    </row>
    <row r="71" spans="1:9" ht="12" customHeight="1">
      <c r="A71" s="55"/>
      <c r="B71" s="56"/>
      <c r="C71" s="57" t="s">
        <v>49</v>
      </c>
      <c r="D71" s="57"/>
      <c r="E71" s="57"/>
      <c r="F71" s="57"/>
      <c r="G71" s="1" t="s">
        <v>80</v>
      </c>
      <c r="H71" s="25" t="s">
        <v>81</v>
      </c>
      <c r="I71" s="58"/>
    </row>
    <row r="72" spans="1:9" ht="12" customHeight="1">
      <c r="A72" s="55"/>
      <c r="B72" s="56"/>
      <c r="C72" s="57" t="s">
        <v>49</v>
      </c>
      <c r="D72" s="57"/>
      <c r="E72" s="57"/>
      <c r="F72" s="57"/>
      <c r="G72" s="1" t="s">
        <v>82</v>
      </c>
      <c r="H72" s="26" t="s">
        <v>83</v>
      </c>
      <c r="I72" s="58"/>
    </row>
    <row r="73" spans="1:9" ht="12" customHeight="1">
      <c r="A73" s="55"/>
      <c r="B73" s="56"/>
      <c r="C73" s="57" t="s">
        <v>49</v>
      </c>
      <c r="D73" s="57"/>
      <c r="E73" s="57"/>
      <c r="F73" s="57"/>
      <c r="G73" s="1" t="s">
        <v>84</v>
      </c>
      <c r="H73" s="3" t="s">
        <v>85</v>
      </c>
      <c r="I73" s="58"/>
    </row>
    <row r="74" spans="1:9" ht="12" customHeight="1">
      <c r="A74" s="55"/>
      <c r="B74" s="56"/>
      <c r="C74" s="57" t="s">
        <v>49</v>
      </c>
      <c r="D74" s="57"/>
      <c r="E74" s="57"/>
      <c r="F74" s="57"/>
      <c r="G74" s="1" t="s">
        <v>86</v>
      </c>
      <c r="H74" s="3" t="s">
        <v>87</v>
      </c>
      <c r="I74" s="58"/>
    </row>
    <row r="75" spans="1:9" ht="12" customHeight="1">
      <c r="A75" s="55"/>
      <c r="B75" s="56"/>
      <c r="C75" s="57" t="s">
        <v>49</v>
      </c>
      <c r="D75" s="57"/>
      <c r="E75" s="57"/>
      <c r="F75" s="57"/>
      <c r="G75" s="1" t="s">
        <v>88</v>
      </c>
      <c r="H75" s="3" t="s">
        <v>89</v>
      </c>
      <c r="I75" s="58"/>
    </row>
    <row r="76" spans="1:9" ht="12" customHeight="1">
      <c r="A76" s="55"/>
      <c r="B76" s="56"/>
      <c r="C76" s="57" t="s">
        <v>49</v>
      </c>
      <c r="D76" s="57"/>
      <c r="E76" s="57"/>
      <c r="F76" s="57"/>
      <c r="G76" s="1" t="s">
        <v>90</v>
      </c>
      <c r="H76" s="3" t="s">
        <v>91</v>
      </c>
      <c r="I76" s="58"/>
    </row>
    <row r="77" spans="1:9" ht="12" customHeight="1">
      <c r="A77" s="55"/>
      <c r="B77" s="56"/>
      <c r="C77" s="57" t="s">
        <v>49</v>
      </c>
      <c r="D77" s="57"/>
      <c r="E77" s="57"/>
      <c r="F77" s="57"/>
      <c r="G77" s="1" t="s">
        <v>92</v>
      </c>
      <c r="H77" s="3" t="s">
        <v>93</v>
      </c>
      <c r="I77" s="58"/>
    </row>
    <row r="78" spans="1:9" ht="12" customHeight="1">
      <c r="A78" s="55"/>
      <c r="B78" s="56"/>
      <c r="C78" s="57" t="s">
        <v>49</v>
      </c>
      <c r="D78" s="57"/>
      <c r="E78" s="57"/>
      <c r="F78" s="57"/>
      <c r="G78" s="1" t="s">
        <v>94</v>
      </c>
      <c r="H78" s="3" t="s">
        <v>95</v>
      </c>
      <c r="I78" s="58"/>
    </row>
    <row r="79" spans="1:9" ht="12" customHeight="1">
      <c r="A79" s="55"/>
      <c r="B79" s="56"/>
      <c r="C79" s="57" t="s">
        <v>49</v>
      </c>
      <c r="D79" s="57"/>
      <c r="E79" s="57"/>
      <c r="F79" s="57"/>
      <c r="G79" s="1" t="s">
        <v>96</v>
      </c>
      <c r="H79" s="3" t="s">
        <v>97</v>
      </c>
      <c r="I79" s="58"/>
    </row>
    <row r="80" spans="1:9" ht="12" customHeight="1">
      <c r="A80" s="55"/>
      <c r="B80" s="56"/>
      <c r="C80" s="57" t="s">
        <v>49</v>
      </c>
      <c r="D80" s="57"/>
      <c r="E80" s="57"/>
      <c r="F80" s="57"/>
      <c r="G80" s="1" t="s">
        <v>98</v>
      </c>
      <c r="H80" s="3" t="s">
        <v>99</v>
      </c>
      <c r="I80" s="58"/>
    </row>
    <row r="81" spans="1:9" ht="12" customHeight="1">
      <c r="A81" s="55">
        <v>46281</v>
      </c>
      <c r="B81" s="56">
        <v>1262495</v>
      </c>
      <c r="C81" s="57" t="s">
        <v>49</v>
      </c>
      <c r="D81" s="57">
        <v>985185</v>
      </c>
      <c r="E81" s="57">
        <v>78815</v>
      </c>
      <c r="F81" s="57">
        <f t="shared" si="2"/>
        <v>1064000</v>
      </c>
      <c r="G81" s="1" t="s">
        <v>77</v>
      </c>
      <c r="H81" s="25" t="s">
        <v>78</v>
      </c>
      <c r="I81" s="58" t="s">
        <v>79</v>
      </c>
    </row>
    <row r="82" spans="1:9" ht="12" customHeight="1">
      <c r="A82" s="55"/>
      <c r="B82" s="56"/>
      <c r="C82" s="57" t="s">
        <v>49</v>
      </c>
      <c r="D82" s="57"/>
      <c r="E82" s="57"/>
      <c r="F82" s="57">
        <f t="shared" si="2"/>
        <v>0</v>
      </c>
      <c r="G82" s="1" t="s">
        <v>80</v>
      </c>
      <c r="H82" s="25" t="s">
        <v>81</v>
      </c>
      <c r="I82" s="58"/>
    </row>
    <row r="83" spans="1:9" ht="12" customHeight="1">
      <c r="A83" s="55"/>
      <c r="B83" s="56"/>
      <c r="C83" s="57" t="s">
        <v>49</v>
      </c>
      <c r="D83" s="57"/>
      <c r="E83" s="57"/>
      <c r="F83" s="57">
        <f t="shared" si="2"/>
        <v>0</v>
      </c>
      <c r="G83" s="1" t="s">
        <v>82</v>
      </c>
      <c r="H83" s="26" t="s">
        <v>83</v>
      </c>
      <c r="I83" s="58"/>
    </row>
    <row r="84" spans="1:9" ht="12" customHeight="1">
      <c r="A84" s="55"/>
      <c r="B84" s="56"/>
      <c r="C84" s="57" t="s">
        <v>49</v>
      </c>
      <c r="D84" s="57"/>
      <c r="E84" s="57"/>
      <c r="F84" s="57">
        <f t="shared" si="2"/>
        <v>0</v>
      </c>
      <c r="G84" s="1" t="s">
        <v>84</v>
      </c>
      <c r="H84" s="3" t="s">
        <v>85</v>
      </c>
      <c r="I84" s="58"/>
    </row>
    <row r="85" spans="1:9" ht="12" customHeight="1">
      <c r="A85" s="55"/>
      <c r="B85" s="56"/>
      <c r="C85" s="57" t="s">
        <v>49</v>
      </c>
      <c r="D85" s="57"/>
      <c r="E85" s="57"/>
      <c r="F85" s="57">
        <f t="shared" si="2"/>
        <v>0</v>
      </c>
      <c r="G85" s="1" t="s">
        <v>86</v>
      </c>
      <c r="H85" s="3" t="s">
        <v>87</v>
      </c>
      <c r="I85" s="58"/>
    </row>
    <row r="86" spans="1:9" ht="12" customHeight="1">
      <c r="A86" s="55"/>
      <c r="B86" s="56"/>
      <c r="C86" s="57" t="s">
        <v>49</v>
      </c>
      <c r="D86" s="57"/>
      <c r="E86" s="57"/>
      <c r="F86" s="57">
        <f t="shared" si="2"/>
        <v>0</v>
      </c>
      <c r="G86" s="1" t="s">
        <v>88</v>
      </c>
      <c r="H86" s="3" t="s">
        <v>89</v>
      </c>
      <c r="I86" s="58"/>
    </row>
    <row r="87" spans="1:9" ht="12" customHeight="1">
      <c r="A87" s="55"/>
      <c r="B87" s="56"/>
      <c r="C87" s="57" t="s">
        <v>49</v>
      </c>
      <c r="D87" s="57"/>
      <c r="E87" s="57"/>
      <c r="F87" s="57">
        <f t="shared" si="2"/>
        <v>0</v>
      </c>
      <c r="G87" s="1" t="s">
        <v>90</v>
      </c>
      <c r="H87" s="3" t="s">
        <v>91</v>
      </c>
      <c r="I87" s="58"/>
    </row>
    <row r="88" spans="1:9" ht="12" customHeight="1">
      <c r="A88" s="55"/>
      <c r="B88" s="56"/>
      <c r="C88" s="57" t="s">
        <v>49</v>
      </c>
      <c r="D88" s="57"/>
      <c r="E88" s="57"/>
      <c r="F88" s="57">
        <f t="shared" si="2"/>
        <v>0</v>
      </c>
      <c r="G88" s="1" t="s">
        <v>92</v>
      </c>
      <c r="H88" s="3" t="s">
        <v>93</v>
      </c>
      <c r="I88" s="58"/>
    </row>
    <row r="89" spans="1:9" ht="12" customHeight="1">
      <c r="A89" s="55"/>
      <c r="B89" s="56"/>
      <c r="C89" s="57" t="s">
        <v>49</v>
      </c>
      <c r="D89" s="57"/>
      <c r="E89" s="57"/>
      <c r="F89" s="57">
        <f t="shared" si="2"/>
        <v>0</v>
      </c>
      <c r="G89" s="1" t="s">
        <v>94</v>
      </c>
      <c r="H89" s="3" t="s">
        <v>95</v>
      </c>
      <c r="I89" s="58"/>
    </row>
    <row r="90" spans="1:9" ht="12" customHeight="1">
      <c r="A90" s="55"/>
      <c r="B90" s="56"/>
      <c r="C90" s="57" t="s">
        <v>49</v>
      </c>
      <c r="D90" s="57"/>
      <c r="E90" s="57"/>
      <c r="F90" s="57">
        <f t="shared" si="2"/>
        <v>0</v>
      </c>
      <c r="G90" s="1" t="s">
        <v>96</v>
      </c>
      <c r="H90" s="3" t="s">
        <v>97</v>
      </c>
      <c r="I90" s="58"/>
    </row>
    <row r="91" spans="1:9" ht="12" customHeight="1">
      <c r="A91" s="55"/>
      <c r="B91" s="56"/>
      <c r="C91" s="57" t="s">
        <v>49</v>
      </c>
      <c r="D91" s="57"/>
      <c r="E91" s="57"/>
      <c r="F91" s="57">
        <f t="shared" si="2"/>
        <v>0</v>
      </c>
      <c r="G91" s="1" t="s">
        <v>98</v>
      </c>
      <c r="H91" s="3" t="s">
        <v>99</v>
      </c>
      <c r="I91" s="58"/>
    </row>
    <row r="92" spans="1:9" ht="12" customHeight="1">
      <c r="A92" s="55">
        <v>46280</v>
      </c>
      <c r="B92" s="56">
        <v>20793</v>
      </c>
      <c r="C92" s="57" t="s">
        <v>49</v>
      </c>
      <c r="D92" s="57">
        <v>1648148</v>
      </c>
      <c r="E92" s="57">
        <v>131852</v>
      </c>
      <c r="F92" s="57">
        <f>+D92+E92</f>
        <v>1780000</v>
      </c>
      <c r="G92" s="1" t="s">
        <v>100</v>
      </c>
      <c r="H92" s="3" t="s">
        <v>101</v>
      </c>
      <c r="I92" s="58" t="s">
        <v>102</v>
      </c>
    </row>
    <row r="93" spans="1:9" ht="12" customHeight="1">
      <c r="A93" s="55"/>
      <c r="B93" s="56"/>
      <c r="C93" s="57" t="s">
        <v>49</v>
      </c>
      <c r="D93" s="57"/>
      <c r="E93" s="57"/>
      <c r="F93" s="57"/>
      <c r="G93" s="1" t="s">
        <v>103</v>
      </c>
      <c r="H93" s="3" t="s">
        <v>104</v>
      </c>
      <c r="I93" s="58"/>
    </row>
    <row r="94" spans="1:9" ht="12" customHeight="1">
      <c r="A94" s="55"/>
      <c r="B94" s="56"/>
      <c r="C94" s="57" t="s">
        <v>49</v>
      </c>
      <c r="D94" s="57"/>
      <c r="E94" s="57"/>
      <c r="F94" s="57"/>
      <c r="G94" s="1" t="s">
        <v>105</v>
      </c>
      <c r="H94" s="3" t="s">
        <v>106</v>
      </c>
      <c r="I94" s="58"/>
    </row>
    <row r="95" spans="1:9" ht="12" customHeight="1">
      <c r="A95" s="55">
        <v>46282</v>
      </c>
      <c r="B95" s="56" t="s">
        <v>107</v>
      </c>
      <c r="C95" s="57" t="s">
        <v>49</v>
      </c>
      <c r="D95" s="57">
        <v>1405556</v>
      </c>
      <c r="E95" s="57">
        <v>112444</v>
      </c>
      <c r="F95" s="57">
        <f t="shared" si="2"/>
        <v>1518000</v>
      </c>
      <c r="G95" s="1" t="s">
        <v>100</v>
      </c>
      <c r="H95" s="3" t="s">
        <v>101</v>
      </c>
      <c r="I95" s="58" t="s">
        <v>102</v>
      </c>
    </row>
    <row r="96" spans="1:9" ht="12" customHeight="1">
      <c r="A96" s="55"/>
      <c r="B96" s="56"/>
      <c r="C96" s="57" t="s">
        <v>49</v>
      </c>
      <c r="D96" s="57"/>
      <c r="E96" s="57"/>
      <c r="F96" s="57">
        <f t="shared" si="2"/>
        <v>0</v>
      </c>
      <c r="G96" s="1" t="s">
        <v>103</v>
      </c>
      <c r="H96" s="3" t="s">
        <v>104</v>
      </c>
      <c r="I96" s="58"/>
    </row>
    <row r="97" spans="1:9" ht="12" customHeight="1">
      <c r="A97" s="55"/>
      <c r="B97" s="56"/>
      <c r="C97" s="57" t="s">
        <v>49</v>
      </c>
      <c r="D97" s="57"/>
      <c r="E97" s="57"/>
      <c r="F97" s="57">
        <f t="shared" si="2"/>
        <v>0</v>
      </c>
      <c r="G97" s="1" t="s">
        <v>105</v>
      </c>
      <c r="H97" s="3" t="s">
        <v>106</v>
      </c>
      <c r="I97" s="58"/>
    </row>
    <row r="98" spans="1:9" ht="12" customHeight="1">
      <c r="A98" s="27">
        <v>46282</v>
      </c>
      <c r="B98" s="28" t="s">
        <v>108</v>
      </c>
      <c r="C98" s="29" t="s">
        <v>49</v>
      </c>
      <c r="D98" s="30">
        <v>1782407</v>
      </c>
      <c r="E98" s="30">
        <v>142593</v>
      </c>
      <c r="F98" s="30">
        <f>+D98+E98</f>
        <v>1925000</v>
      </c>
      <c r="G98" s="1" t="s">
        <v>109</v>
      </c>
      <c r="H98" s="8" t="s">
        <v>110</v>
      </c>
      <c r="I98" s="6" t="s">
        <v>111</v>
      </c>
    </row>
    <row r="99" spans="1:9" ht="12" customHeight="1">
      <c r="A99" s="27">
        <v>46282</v>
      </c>
      <c r="B99" s="28" t="s">
        <v>112</v>
      </c>
      <c r="C99" s="29" t="s">
        <v>49</v>
      </c>
      <c r="D99" s="30">
        <v>1500000</v>
      </c>
      <c r="E99" s="30">
        <v>120000</v>
      </c>
      <c r="F99" s="30">
        <f t="shared" si="2"/>
        <v>1620000</v>
      </c>
      <c r="G99" s="1" t="s">
        <v>109</v>
      </c>
      <c r="H99" s="8" t="s">
        <v>110</v>
      </c>
      <c r="I99" s="6" t="s">
        <v>111</v>
      </c>
    </row>
    <row r="100" spans="1:9" ht="12" customHeight="1">
      <c r="A100" s="55">
        <v>46280</v>
      </c>
      <c r="B100" s="62">
        <v>60522</v>
      </c>
      <c r="C100" s="57" t="s">
        <v>49</v>
      </c>
      <c r="D100" s="57">
        <v>1782407</v>
      </c>
      <c r="E100" s="57">
        <v>142593</v>
      </c>
      <c r="F100" s="57">
        <f>+D100+E100</f>
        <v>1925000</v>
      </c>
      <c r="G100" s="1" t="s">
        <v>113</v>
      </c>
      <c r="H100" s="3" t="s">
        <v>114</v>
      </c>
      <c r="I100" s="58" t="s">
        <v>115</v>
      </c>
    </row>
    <row r="101" spans="1:9" ht="12" customHeight="1">
      <c r="A101" s="55"/>
      <c r="B101" s="62"/>
      <c r="C101" s="57" t="s">
        <v>49</v>
      </c>
      <c r="D101" s="57"/>
      <c r="E101" s="57"/>
      <c r="F101" s="57"/>
      <c r="G101" s="1" t="s">
        <v>116</v>
      </c>
      <c r="H101" s="3" t="s">
        <v>117</v>
      </c>
      <c r="I101" s="58"/>
    </row>
    <row r="102" spans="1:9" ht="12" customHeight="1">
      <c r="A102" s="55"/>
      <c r="B102" s="62"/>
      <c r="C102" s="57" t="s">
        <v>49</v>
      </c>
      <c r="D102" s="57"/>
      <c r="E102" s="57"/>
      <c r="F102" s="57"/>
      <c r="G102" s="1" t="s">
        <v>118</v>
      </c>
      <c r="H102" s="3" t="s">
        <v>119</v>
      </c>
      <c r="I102" s="58"/>
    </row>
    <row r="103" spans="1:9" ht="12" customHeight="1">
      <c r="A103" s="55"/>
      <c r="B103" s="62"/>
      <c r="C103" s="57" t="s">
        <v>49</v>
      </c>
      <c r="D103" s="57"/>
      <c r="E103" s="57"/>
      <c r="F103" s="57"/>
      <c r="G103" s="1" t="s">
        <v>120</v>
      </c>
      <c r="H103" s="3" t="s">
        <v>121</v>
      </c>
      <c r="I103" s="58"/>
    </row>
    <row r="104" spans="1:9" ht="12" customHeight="1">
      <c r="A104" s="55"/>
      <c r="B104" s="62"/>
      <c r="C104" s="57" t="s">
        <v>49</v>
      </c>
      <c r="D104" s="57"/>
      <c r="E104" s="57"/>
      <c r="F104" s="57"/>
      <c r="G104" s="1" t="s">
        <v>122</v>
      </c>
      <c r="H104" s="3" t="s">
        <v>123</v>
      </c>
      <c r="I104" s="58"/>
    </row>
    <row r="105" spans="1:9" ht="12" customHeight="1">
      <c r="A105" s="55"/>
      <c r="B105" s="62"/>
      <c r="C105" s="57" t="s">
        <v>49</v>
      </c>
      <c r="D105" s="57"/>
      <c r="E105" s="57"/>
      <c r="F105" s="57"/>
      <c r="G105" s="1" t="s">
        <v>124</v>
      </c>
      <c r="H105" s="3" t="s">
        <v>125</v>
      </c>
      <c r="I105" s="58"/>
    </row>
    <row r="106" spans="1:9" ht="12" customHeight="1">
      <c r="A106" s="55"/>
      <c r="B106" s="62"/>
      <c r="C106" s="57" t="s">
        <v>49</v>
      </c>
      <c r="D106" s="57"/>
      <c r="E106" s="57"/>
      <c r="F106" s="57"/>
      <c r="G106" s="1" t="s">
        <v>126</v>
      </c>
      <c r="H106" s="3" t="s">
        <v>127</v>
      </c>
      <c r="I106" s="58"/>
    </row>
    <row r="107" spans="1:9" ht="12" customHeight="1">
      <c r="A107" s="55">
        <v>46282</v>
      </c>
      <c r="B107" s="62" t="s">
        <v>128</v>
      </c>
      <c r="C107" s="57" t="s">
        <v>49</v>
      </c>
      <c r="D107" s="57">
        <v>1500000</v>
      </c>
      <c r="E107" s="57">
        <v>120000</v>
      </c>
      <c r="F107" s="57">
        <f t="shared" si="2"/>
        <v>1620000</v>
      </c>
      <c r="G107" s="1" t="s">
        <v>113</v>
      </c>
      <c r="H107" s="3" t="s">
        <v>114</v>
      </c>
      <c r="I107" s="58" t="s">
        <v>115</v>
      </c>
    </row>
    <row r="108" spans="1:9" ht="12" customHeight="1">
      <c r="A108" s="55"/>
      <c r="B108" s="62"/>
      <c r="C108" s="57" t="s">
        <v>49</v>
      </c>
      <c r="D108" s="57"/>
      <c r="E108" s="57"/>
      <c r="F108" s="57">
        <f t="shared" si="2"/>
        <v>0</v>
      </c>
      <c r="G108" s="1" t="s">
        <v>116</v>
      </c>
      <c r="H108" s="3" t="s">
        <v>117</v>
      </c>
      <c r="I108" s="58"/>
    </row>
    <row r="109" spans="1:9" ht="12" customHeight="1">
      <c r="A109" s="55"/>
      <c r="B109" s="62"/>
      <c r="C109" s="57" t="s">
        <v>49</v>
      </c>
      <c r="D109" s="57"/>
      <c r="E109" s="57"/>
      <c r="F109" s="57">
        <f t="shared" si="2"/>
        <v>0</v>
      </c>
      <c r="G109" s="1" t="s">
        <v>118</v>
      </c>
      <c r="H109" s="3" t="s">
        <v>119</v>
      </c>
      <c r="I109" s="58"/>
    </row>
    <row r="110" spans="1:9" ht="12" customHeight="1">
      <c r="A110" s="55"/>
      <c r="B110" s="62"/>
      <c r="C110" s="57" t="s">
        <v>49</v>
      </c>
      <c r="D110" s="57"/>
      <c r="E110" s="57"/>
      <c r="F110" s="57">
        <f t="shared" si="2"/>
        <v>0</v>
      </c>
      <c r="G110" s="1" t="s">
        <v>120</v>
      </c>
      <c r="H110" s="3" t="s">
        <v>121</v>
      </c>
      <c r="I110" s="58"/>
    </row>
    <row r="111" spans="1:9" ht="12" customHeight="1">
      <c r="A111" s="55"/>
      <c r="B111" s="62"/>
      <c r="C111" s="57" t="s">
        <v>49</v>
      </c>
      <c r="D111" s="57"/>
      <c r="E111" s="57"/>
      <c r="F111" s="57">
        <f t="shared" si="2"/>
        <v>0</v>
      </c>
      <c r="G111" s="1" t="s">
        <v>122</v>
      </c>
      <c r="H111" s="3" t="s">
        <v>123</v>
      </c>
      <c r="I111" s="58"/>
    </row>
    <row r="112" spans="1:9" ht="12" customHeight="1">
      <c r="A112" s="55"/>
      <c r="B112" s="62"/>
      <c r="C112" s="57" t="s">
        <v>49</v>
      </c>
      <c r="D112" s="57"/>
      <c r="E112" s="57"/>
      <c r="F112" s="57">
        <f t="shared" si="2"/>
        <v>0</v>
      </c>
      <c r="G112" s="1" t="s">
        <v>124</v>
      </c>
      <c r="H112" s="3" t="s">
        <v>125</v>
      </c>
      <c r="I112" s="58"/>
    </row>
    <row r="113" spans="1:9" ht="12" customHeight="1">
      <c r="A113" s="55"/>
      <c r="B113" s="62"/>
      <c r="C113" s="57" t="s">
        <v>49</v>
      </c>
      <c r="D113" s="57"/>
      <c r="E113" s="57"/>
      <c r="F113" s="57">
        <f t="shared" si="2"/>
        <v>0</v>
      </c>
      <c r="G113" s="1" t="s">
        <v>126</v>
      </c>
      <c r="H113" s="3" t="s">
        <v>127</v>
      </c>
      <c r="I113" s="58"/>
    </row>
    <row r="114" spans="1:9" ht="12" customHeight="1">
      <c r="A114" s="55">
        <v>46281</v>
      </c>
      <c r="B114" s="63" t="s">
        <v>129</v>
      </c>
      <c r="C114" s="57" t="s">
        <v>49</v>
      </c>
      <c r="D114" s="57">
        <v>1092593</v>
      </c>
      <c r="E114" s="57">
        <v>87407</v>
      </c>
      <c r="F114" s="57">
        <f>+D114+E114</f>
        <v>1180000</v>
      </c>
      <c r="G114" s="1" t="s">
        <v>130</v>
      </c>
      <c r="H114" s="3" t="s">
        <v>131</v>
      </c>
      <c r="I114" s="58" t="s">
        <v>132</v>
      </c>
    </row>
    <row r="115" spans="1:9" ht="12" customHeight="1">
      <c r="A115" s="55"/>
      <c r="B115" s="63"/>
      <c r="C115" s="57" t="s">
        <v>49</v>
      </c>
      <c r="D115" s="57"/>
      <c r="E115" s="57"/>
      <c r="F115" s="57"/>
      <c r="G115" s="1" t="s">
        <v>133</v>
      </c>
      <c r="H115" s="3" t="s">
        <v>134</v>
      </c>
      <c r="I115" s="58"/>
    </row>
    <row r="116" spans="1:9" ht="12" customHeight="1">
      <c r="A116" s="55"/>
      <c r="B116" s="63"/>
      <c r="C116" s="57" t="s">
        <v>49</v>
      </c>
      <c r="D116" s="57"/>
      <c r="E116" s="57"/>
      <c r="F116" s="57"/>
      <c r="G116" s="1" t="s">
        <v>135</v>
      </c>
      <c r="H116" s="3" t="s">
        <v>136</v>
      </c>
      <c r="I116" s="58"/>
    </row>
    <row r="117" spans="1:9" ht="12" customHeight="1">
      <c r="A117" s="55">
        <v>46282</v>
      </c>
      <c r="B117" s="63" t="s">
        <v>137</v>
      </c>
      <c r="C117" s="57" t="s">
        <v>49</v>
      </c>
      <c r="D117" s="57">
        <v>473148</v>
      </c>
      <c r="E117" s="57">
        <v>37852</v>
      </c>
      <c r="F117" s="57">
        <f t="shared" si="2"/>
        <v>511000</v>
      </c>
      <c r="G117" s="1" t="s">
        <v>130</v>
      </c>
      <c r="H117" s="3" t="s">
        <v>131</v>
      </c>
      <c r="I117" s="58" t="s">
        <v>132</v>
      </c>
    </row>
    <row r="118" spans="1:9" ht="12" customHeight="1">
      <c r="A118" s="55"/>
      <c r="B118" s="63"/>
      <c r="C118" s="57" t="s">
        <v>49</v>
      </c>
      <c r="D118" s="57"/>
      <c r="E118" s="57"/>
      <c r="F118" s="57">
        <f t="shared" si="2"/>
        <v>0</v>
      </c>
      <c r="G118" s="1" t="s">
        <v>133</v>
      </c>
      <c r="H118" s="3" t="s">
        <v>134</v>
      </c>
      <c r="I118" s="58"/>
    </row>
    <row r="119" spans="1:9" ht="12" customHeight="1">
      <c r="A119" s="55"/>
      <c r="B119" s="63"/>
      <c r="C119" s="57" t="s">
        <v>49</v>
      </c>
      <c r="D119" s="57"/>
      <c r="E119" s="57"/>
      <c r="F119" s="57">
        <f t="shared" si="2"/>
        <v>0</v>
      </c>
      <c r="G119" s="1" t="s">
        <v>135</v>
      </c>
      <c r="H119" s="3" t="s">
        <v>136</v>
      </c>
      <c r="I119" s="58"/>
    </row>
    <row r="120" spans="1:9" ht="12" customHeight="1">
      <c r="A120" s="55">
        <v>46282</v>
      </c>
      <c r="B120" s="63" t="s">
        <v>138</v>
      </c>
      <c r="C120" s="57" t="s">
        <v>49</v>
      </c>
      <c r="D120" s="57">
        <v>1782407</v>
      </c>
      <c r="E120" s="57">
        <v>142593</v>
      </c>
      <c r="F120" s="57">
        <f>+D120+E120</f>
        <v>1925000</v>
      </c>
      <c r="G120" s="1" t="s">
        <v>139</v>
      </c>
      <c r="H120" s="3" t="s">
        <v>140</v>
      </c>
      <c r="I120" s="58" t="s">
        <v>141</v>
      </c>
    </row>
    <row r="121" spans="1:9" ht="12" customHeight="1">
      <c r="A121" s="55"/>
      <c r="B121" s="63"/>
      <c r="C121" s="57" t="s">
        <v>49</v>
      </c>
      <c r="D121" s="57"/>
      <c r="E121" s="57"/>
      <c r="F121" s="57"/>
      <c r="G121" s="1" t="s">
        <v>142</v>
      </c>
      <c r="H121" s="3" t="s">
        <v>143</v>
      </c>
      <c r="I121" s="58"/>
    </row>
    <row r="122" spans="1:9" ht="12" customHeight="1">
      <c r="A122" s="55">
        <v>46283</v>
      </c>
      <c r="B122" s="63" t="s">
        <v>144</v>
      </c>
      <c r="C122" s="57" t="s">
        <v>49</v>
      </c>
      <c r="D122" s="57">
        <v>1500000</v>
      </c>
      <c r="E122" s="57">
        <v>120000</v>
      </c>
      <c r="F122" s="57">
        <f t="shared" si="2"/>
        <v>1620000</v>
      </c>
      <c r="G122" s="1" t="s">
        <v>139</v>
      </c>
      <c r="H122" s="3" t="s">
        <v>140</v>
      </c>
      <c r="I122" s="58" t="s">
        <v>141</v>
      </c>
    </row>
    <row r="123" spans="1:9" ht="12" customHeight="1">
      <c r="A123" s="55"/>
      <c r="B123" s="63"/>
      <c r="C123" s="57" t="s">
        <v>49</v>
      </c>
      <c r="D123" s="57"/>
      <c r="E123" s="57"/>
      <c r="F123" s="57">
        <f t="shared" si="2"/>
        <v>0</v>
      </c>
      <c r="G123" s="1" t="s">
        <v>142</v>
      </c>
      <c r="H123" s="3" t="s">
        <v>143</v>
      </c>
      <c r="I123" s="58"/>
    </row>
    <row r="124" spans="1:9" ht="12" customHeight="1">
      <c r="A124" s="55">
        <v>46282</v>
      </c>
      <c r="B124" s="63" t="s">
        <v>145</v>
      </c>
      <c r="C124" s="57" t="s">
        <v>49</v>
      </c>
      <c r="D124" s="57">
        <v>1666667</v>
      </c>
      <c r="E124" s="57">
        <v>133333</v>
      </c>
      <c r="F124" s="57">
        <f>+D124+E124</f>
        <v>1800000</v>
      </c>
      <c r="G124" s="1" t="s">
        <v>146</v>
      </c>
      <c r="H124" s="8" t="s">
        <v>147</v>
      </c>
      <c r="I124" s="58" t="s">
        <v>148</v>
      </c>
    </row>
    <row r="125" spans="1:9" ht="12" customHeight="1">
      <c r="A125" s="55"/>
      <c r="B125" s="63"/>
      <c r="C125" s="57" t="s">
        <v>49</v>
      </c>
      <c r="D125" s="57"/>
      <c r="E125" s="57"/>
      <c r="F125" s="57">
        <f>+D125+E125</f>
        <v>0</v>
      </c>
      <c r="G125" s="1" t="s">
        <v>149</v>
      </c>
      <c r="H125" s="3" t="s">
        <v>150</v>
      </c>
      <c r="I125" s="58"/>
    </row>
    <row r="126" spans="1:9" ht="12" customHeight="1">
      <c r="A126" s="55">
        <v>46283</v>
      </c>
      <c r="B126" s="63">
        <v>124310</v>
      </c>
      <c r="C126" s="57" t="s">
        <v>49</v>
      </c>
      <c r="D126" s="57">
        <v>1416667</v>
      </c>
      <c r="E126" s="57">
        <v>113333</v>
      </c>
      <c r="F126" s="57">
        <f t="shared" si="2"/>
        <v>1530000</v>
      </c>
      <c r="G126" s="1" t="s">
        <v>146</v>
      </c>
      <c r="H126" s="8" t="s">
        <v>147</v>
      </c>
      <c r="I126" s="58" t="s">
        <v>148</v>
      </c>
    </row>
    <row r="127" spans="1:9" ht="12" customHeight="1">
      <c r="A127" s="55"/>
      <c r="B127" s="63"/>
      <c r="C127" s="57" t="s">
        <v>49</v>
      </c>
      <c r="D127" s="57"/>
      <c r="E127" s="57"/>
      <c r="F127" s="57">
        <f t="shared" si="2"/>
        <v>0</v>
      </c>
      <c r="G127" s="1" t="s">
        <v>149</v>
      </c>
      <c r="H127" s="3" t="s">
        <v>150</v>
      </c>
      <c r="I127" s="58"/>
    </row>
    <row r="128" spans="1:9" ht="12" customHeight="1">
      <c r="A128" s="55">
        <v>46281</v>
      </c>
      <c r="B128" s="56">
        <v>80268</v>
      </c>
      <c r="C128" s="57" t="s">
        <v>49</v>
      </c>
      <c r="D128" s="57">
        <v>1090093</v>
      </c>
      <c r="E128" s="57">
        <v>87207</v>
      </c>
      <c r="F128" s="57">
        <f>+D128+E128</f>
        <v>1177300</v>
      </c>
      <c r="G128" s="1" t="s">
        <v>151</v>
      </c>
      <c r="H128" s="3" t="s">
        <v>152</v>
      </c>
      <c r="I128" s="58" t="s">
        <v>153</v>
      </c>
    </row>
    <row r="129" spans="1:9" ht="12" customHeight="1">
      <c r="A129" s="55"/>
      <c r="B129" s="56"/>
      <c r="C129" s="57" t="s">
        <v>49</v>
      </c>
      <c r="D129" s="57"/>
      <c r="E129" s="57"/>
      <c r="F129" s="57"/>
      <c r="G129" s="1" t="s">
        <v>154</v>
      </c>
      <c r="H129" s="3" t="s">
        <v>155</v>
      </c>
      <c r="I129" s="58"/>
    </row>
    <row r="130" spans="1:9" ht="12" customHeight="1">
      <c r="A130" s="55"/>
      <c r="B130" s="56"/>
      <c r="C130" s="57" t="s">
        <v>49</v>
      </c>
      <c r="D130" s="57"/>
      <c r="E130" s="57"/>
      <c r="F130" s="57"/>
      <c r="G130" s="1" t="s">
        <v>156</v>
      </c>
      <c r="H130" s="3" t="s">
        <v>157</v>
      </c>
      <c r="I130" s="58"/>
    </row>
    <row r="131" spans="1:9" ht="12" customHeight="1">
      <c r="A131" s="55">
        <v>46284</v>
      </c>
      <c r="B131" s="56" t="s">
        <v>158</v>
      </c>
      <c r="C131" s="57" t="s">
        <v>49</v>
      </c>
      <c r="D131" s="57">
        <v>865741</v>
      </c>
      <c r="E131" s="57">
        <v>69259</v>
      </c>
      <c r="F131" s="57">
        <f t="shared" si="2"/>
        <v>935000</v>
      </c>
      <c r="G131" s="1" t="s">
        <v>151</v>
      </c>
      <c r="H131" s="3" t="s">
        <v>152</v>
      </c>
      <c r="I131" s="58" t="s">
        <v>153</v>
      </c>
    </row>
    <row r="132" spans="1:9" ht="12" customHeight="1">
      <c r="A132" s="55"/>
      <c r="B132" s="56"/>
      <c r="C132" s="57" t="s">
        <v>49</v>
      </c>
      <c r="D132" s="57"/>
      <c r="E132" s="57"/>
      <c r="F132" s="57">
        <f t="shared" si="2"/>
        <v>0</v>
      </c>
      <c r="G132" s="1" t="s">
        <v>154</v>
      </c>
      <c r="H132" s="3" t="s">
        <v>155</v>
      </c>
      <c r="I132" s="58"/>
    </row>
    <row r="133" spans="1:9" ht="12" customHeight="1">
      <c r="A133" s="55"/>
      <c r="B133" s="56"/>
      <c r="C133" s="57" t="s">
        <v>49</v>
      </c>
      <c r="D133" s="57"/>
      <c r="E133" s="57"/>
      <c r="F133" s="57">
        <f t="shared" si="2"/>
        <v>0</v>
      </c>
      <c r="G133" s="1" t="s">
        <v>156</v>
      </c>
      <c r="H133" s="3" t="s">
        <v>157</v>
      </c>
      <c r="I133" s="58"/>
    </row>
    <row r="134" spans="1:9" ht="12" customHeight="1">
      <c r="A134" s="55">
        <v>46281</v>
      </c>
      <c r="B134" s="56" t="s">
        <v>159</v>
      </c>
      <c r="C134" s="57" t="s">
        <v>49</v>
      </c>
      <c r="D134" s="57">
        <v>1488889</v>
      </c>
      <c r="E134" s="57">
        <v>119111</v>
      </c>
      <c r="F134" s="57">
        <f>+D134+E134</f>
        <v>1608000</v>
      </c>
      <c r="G134" s="1" t="s">
        <v>160</v>
      </c>
      <c r="H134" s="3" t="s">
        <v>161</v>
      </c>
      <c r="I134" s="58" t="s">
        <v>162</v>
      </c>
    </row>
    <row r="135" spans="1:9" ht="12" customHeight="1">
      <c r="A135" s="55"/>
      <c r="B135" s="56"/>
      <c r="C135" s="57" t="s">
        <v>49</v>
      </c>
      <c r="D135" s="57"/>
      <c r="E135" s="57"/>
      <c r="F135" s="57">
        <f>+D135+E135</f>
        <v>0</v>
      </c>
      <c r="G135" s="1" t="s">
        <v>163</v>
      </c>
      <c r="H135" s="3" t="s">
        <v>164</v>
      </c>
      <c r="I135" s="58"/>
    </row>
    <row r="136" spans="1:9" ht="12" customHeight="1">
      <c r="A136" s="55"/>
      <c r="B136" s="56"/>
      <c r="C136" s="57" t="s">
        <v>49</v>
      </c>
      <c r="D136" s="57"/>
      <c r="E136" s="57"/>
      <c r="F136" s="57">
        <f>+D136+E136</f>
        <v>0</v>
      </c>
      <c r="G136" s="1" t="s">
        <v>165</v>
      </c>
      <c r="H136" s="3" t="s">
        <v>166</v>
      </c>
      <c r="I136" s="58"/>
    </row>
    <row r="137" spans="1:9" ht="12" customHeight="1">
      <c r="A137" s="55">
        <v>46284</v>
      </c>
      <c r="B137" s="56" t="s">
        <v>167</v>
      </c>
      <c r="C137" s="57" t="s">
        <v>49</v>
      </c>
      <c r="D137" s="57">
        <v>1405556</v>
      </c>
      <c r="E137" s="57">
        <v>112444</v>
      </c>
      <c r="F137" s="57">
        <f t="shared" si="2"/>
        <v>1518000</v>
      </c>
      <c r="G137" s="1" t="s">
        <v>160</v>
      </c>
      <c r="H137" s="3" t="s">
        <v>161</v>
      </c>
      <c r="I137" s="58" t="s">
        <v>162</v>
      </c>
    </row>
    <row r="138" spans="1:9" ht="12" customHeight="1">
      <c r="A138" s="55"/>
      <c r="B138" s="56"/>
      <c r="C138" s="57" t="s">
        <v>49</v>
      </c>
      <c r="D138" s="57"/>
      <c r="E138" s="57"/>
      <c r="F138" s="57">
        <f t="shared" si="2"/>
        <v>0</v>
      </c>
      <c r="G138" s="1" t="s">
        <v>163</v>
      </c>
      <c r="H138" s="3" t="s">
        <v>164</v>
      </c>
      <c r="I138" s="58"/>
    </row>
    <row r="139" spans="1:9" ht="12" customHeight="1">
      <c r="A139" s="55"/>
      <c r="B139" s="56"/>
      <c r="C139" s="57" t="s">
        <v>49</v>
      </c>
      <c r="D139" s="57"/>
      <c r="E139" s="57"/>
      <c r="F139" s="57">
        <f t="shared" si="2"/>
        <v>0</v>
      </c>
      <c r="G139" s="1" t="s">
        <v>165</v>
      </c>
      <c r="H139" s="3" t="s">
        <v>166</v>
      </c>
      <c r="I139" s="58"/>
    </row>
    <row r="140" spans="1:9" ht="12" customHeight="1">
      <c r="A140" s="55">
        <v>46282</v>
      </c>
      <c r="B140" s="57" t="s">
        <v>168</v>
      </c>
      <c r="C140" s="57" t="s">
        <v>49</v>
      </c>
      <c r="D140" s="57">
        <v>1648148</v>
      </c>
      <c r="E140" s="57">
        <v>131852</v>
      </c>
      <c r="F140" s="57">
        <f>+D140+E140</f>
        <v>1780000</v>
      </c>
      <c r="G140" s="1" t="s">
        <v>169</v>
      </c>
      <c r="H140" s="3" t="s">
        <v>170</v>
      </c>
      <c r="I140" s="58" t="s">
        <v>171</v>
      </c>
    </row>
    <row r="141" spans="1:9" ht="12" customHeight="1">
      <c r="A141" s="55"/>
      <c r="B141" s="57"/>
      <c r="C141" s="57" t="s">
        <v>49</v>
      </c>
      <c r="D141" s="57"/>
      <c r="E141" s="57"/>
      <c r="F141" s="57"/>
      <c r="G141" s="1" t="s">
        <v>172</v>
      </c>
      <c r="H141" s="3" t="s">
        <v>173</v>
      </c>
      <c r="I141" s="58"/>
    </row>
    <row r="142" spans="1:9" ht="12" customHeight="1">
      <c r="A142" s="55"/>
      <c r="B142" s="57"/>
      <c r="C142" s="57" t="s">
        <v>49</v>
      </c>
      <c r="D142" s="57"/>
      <c r="E142" s="57"/>
      <c r="F142" s="57"/>
      <c r="G142" s="1" t="s">
        <v>174</v>
      </c>
      <c r="H142" s="3" t="s">
        <v>175</v>
      </c>
      <c r="I142" s="58"/>
    </row>
    <row r="143" spans="1:9" ht="12" customHeight="1">
      <c r="A143" s="55"/>
      <c r="B143" s="57"/>
      <c r="C143" s="57" t="s">
        <v>49</v>
      </c>
      <c r="D143" s="57"/>
      <c r="E143" s="57"/>
      <c r="F143" s="57"/>
      <c r="G143" s="1" t="s">
        <v>176</v>
      </c>
      <c r="H143" s="3" t="s">
        <v>177</v>
      </c>
      <c r="I143" s="58"/>
    </row>
    <row r="144" spans="1:9" ht="12" customHeight="1">
      <c r="A144" s="55"/>
      <c r="B144" s="57"/>
      <c r="C144" s="57" t="s">
        <v>49</v>
      </c>
      <c r="D144" s="57"/>
      <c r="E144" s="57"/>
      <c r="F144" s="57"/>
      <c r="G144" s="1" t="s">
        <v>178</v>
      </c>
      <c r="H144" s="3" t="s">
        <v>179</v>
      </c>
      <c r="I144" s="58"/>
    </row>
    <row r="145" spans="1:9" ht="12" customHeight="1">
      <c r="A145" s="55"/>
      <c r="B145" s="57"/>
      <c r="C145" s="57" t="s">
        <v>49</v>
      </c>
      <c r="D145" s="57"/>
      <c r="E145" s="57"/>
      <c r="F145" s="57"/>
      <c r="G145" s="1" t="s">
        <v>180</v>
      </c>
      <c r="H145" s="3" t="s">
        <v>181</v>
      </c>
      <c r="I145" s="58"/>
    </row>
    <row r="146" spans="1:9" ht="12" customHeight="1">
      <c r="A146" s="55"/>
      <c r="B146" s="57"/>
      <c r="C146" s="57" t="s">
        <v>49</v>
      </c>
      <c r="D146" s="57"/>
      <c r="E146" s="57"/>
      <c r="F146" s="57"/>
      <c r="G146" s="1" t="s">
        <v>182</v>
      </c>
      <c r="H146" s="3" t="s">
        <v>183</v>
      </c>
      <c r="I146" s="58"/>
    </row>
    <row r="147" spans="1:9" ht="12" customHeight="1">
      <c r="A147" s="55">
        <v>46285</v>
      </c>
      <c r="B147" s="65">
        <v>125408</v>
      </c>
      <c r="C147" s="57" t="s">
        <v>49</v>
      </c>
      <c r="D147" s="57">
        <v>1416667</v>
      </c>
      <c r="E147" s="57">
        <v>113333</v>
      </c>
      <c r="F147" s="57">
        <f t="shared" si="2"/>
        <v>1530000</v>
      </c>
      <c r="G147" s="1" t="s">
        <v>169</v>
      </c>
      <c r="H147" s="3" t="s">
        <v>170</v>
      </c>
      <c r="I147" s="58" t="s">
        <v>171</v>
      </c>
    </row>
    <row r="148" spans="1:9" ht="12" customHeight="1">
      <c r="A148" s="55"/>
      <c r="B148" s="65"/>
      <c r="C148" s="57" t="s">
        <v>49</v>
      </c>
      <c r="D148" s="57"/>
      <c r="E148" s="57"/>
      <c r="F148" s="57">
        <f t="shared" si="2"/>
        <v>0</v>
      </c>
      <c r="G148" s="1" t="s">
        <v>172</v>
      </c>
      <c r="H148" s="3" t="s">
        <v>173</v>
      </c>
      <c r="I148" s="58"/>
    </row>
    <row r="149" spans="1:9" ht="12" customHeight="1">
      <c r="A149" s="55"/>
      <c r="B149" s="65"/>
      <c r="C149" s="57" t="s">
        <v>49</v>
      </c>
      <c r="D149" s="57"/>
      <c r="E149" s="57"/>
      <c r="F149" s="57">
        <f t="shared" si="2"/>
        <v>0</v>
      </c>
      <c r="G149" s="1" t="s">
        <v>174</v>
      </c>
      <c r="H149" s="3" t="s">
        <v>175</v>
      </c>
      <c r="I149" s="58"/>
    </row>
    <row r="150" spans="1:9" ht="12" customHeight="1">
      <c r="A150" s="55"/>
      <c r="B150" s="65"/>
      <c r="C150" s="57" t="s">
        <v>49</v>
      </c>
      <c r="D150" s="57"/>
      <c r="E150" s="57"/>
      <c r="F150" s="57">
        <f t="shared" si="2"/>
        <v>0</v>
      </c>
      <c r="G150" s="1" t="s">
        <v>176</v>
      </c>
      <c r="H150" s="3" t="s">
        <v>177</v>
      </c>
      <c r="I150" s="58"/>
    </row>
    <row r="151" spans="1:9" ht="12" customHeight="1">
      <c r="A151" s="55"/>
      <c r="B151" s="65"/>
      <c r="C151" s="57" t="s">
        <v>49</v>
      </c>
      <c r="D151" s="57"/>
      <c r="E151" s="57"/>
      <c r="F151" s="57">
        <f t="shared" si="2"/>
        <v>0</v>
      </c>
      <c r="G151" s="1" t="s">
        <v>178</v>
      </c>
      <c r="H151" s="3" t="s">
        <v>179</v>
      </c>
      <c r="I151" s="58"/>
    </row>
    <row r="152" spans="1:9" ht="12" customHeight="1">
      <c r="A152" s="55"/>
      <c r="B152" s="65"/>
      <c r="C152" s="57" t="s">
        <v>49</v>
      </c>
      <c r="D152" s="57"/>
      <c r="E152" s="57"/>
      <c r="F152" s="57">
        <f t="shared" si="2"/>
        <v>0</v>
      </c>
      <c r="G152" s="1" t="s">
        <v>180</v>
      </c>
      <c r="H152" s="3" t="s">
        <v>181</v>
      </c>
      <c r="I152" s="58"/>
    </row>
    <row r="153" spans="1:9" ht="12" customHeight="1">
      <c r="A153" s="55"/>
      <c r="B153" s="65"/>
      <c r="C153" s="57" t="s">
        <v>49</v>
      </c>
      <c r="D153" s="57"/>
      <c r="E153" s="57"/>
      <c r="F153" s="57">
        <f t="shared" si="2"/>
        <v>0</v>
      </c>
      <c r="G153" s="1" t="s">
        <v>182</v>
      </c>
      <c r="H153" s="3" t="s">
        <v>183</v>
      </c>
      <c r="I153" s="58"/>
    </row>
    <row r="154" spans="1:9" ht="12" customHeight="1">
      <c r="A154" s="55">
        <v>46282</v>
      </c>
      <c r="B154" s="56">
        <v>127660</v>
      </c>
      <c r="C154" s="57" t="s">
        <v>49</v>
      </c>
      <c r="D154" s="57">
        <v>1450000</v>
      </c>
      <c r="E154" s="57">
        <v>116000</v>
      </c>
      <c r="F154" s="57">
        <f>+D154+E154</f>
        <v>1566000</v>
      </c>
      <c r="G154" s="1" t="s">
        <v>184</v>
      </c>
      <c r="H154" s="3" t="s">
        <v>185</v>
      </c>
      <c r="I154" s="58" t="s">
        <v>186</v>
      </c>
    </row>
    <row r="155" spans="1:9" ht="12" customHeight="1">
      <c r="A155" s="55"/>
      <c r="B155" s="56"/>
      <c r="C155" s="57" t="s">
        <v>49</v>
      </c>
      <c r="D155" s="57"/>
      <c r="E155" s="57"/>
      <c r="F155" s="57"/>
      <c r="G155" s="1" t="s">
        <v>187</v>
      </c>
      <c r="H155" s="3" t="s">
        <v>188</v>
      </c>
      <c r="I155" s="58"/>
    </row>
    <row r="156" spans="1:9" ht="12" customHeight="1">
      <c r="A156" s="55"/>
      <c r="B156" s="56"/>
      <c r="C156" s="57" t="s">
        <v>49</v>
      </c>
      <c r="D156" s="57"/>
      <c r="E156" s="57"/>
      <c r="F156" s="57"/>
      <c r="G156" s="1" t="s">
        <v>189</v>
      </c>
      <c r="H156" s="3" t="s">
        <v>190</v>
      </c>
      <c r="I156" s="58"/>
    </row>
    <row r="157" spans="1:9" ht="12" customHeight="1">
      <c r="A157" s="55">
        <v>46286</v>
      </c>
      <c r="B157" s="56" t="s">
        <v>191</v>
      </c>
      <c r="C157" s="57" t="s">
        <v>49</v>
      </c>
      <c r="D157" s="57">
        <v>1405556</v>
      </c>
      <c r="E157" s="57">
        <v>112444</v>
      </c>
      <c r="F157" s="57">
        <f t="shared" si="2"/>
        <v>1518000</v>
      </c>
      <c r="G157" s="1" t="s">
        <v>184</v>
      </c>
      <c r="H157" s="3" t="s">
        <v>185</v>
      </c>
      <c r="I157" s="58" t="s">
        <v>186</v>
      </c>
    </row>
    <row r="158" spans="1:9" ht="12" customHeight="1">
      <c r="A158" s="55"/>
      <c r="B158" s="56"/>
      <c r="C158" s="57" t="s">
        <v>49</v>
      </c>
      <c r="D158" s="57"/>
      <c r="E158" s="57"/>
      <c r="F158" s="57">
        <f t="shared" si="2"/>
        <v>0</v>
      </c>
      <c r="G158" s="1" t="s">
        <v>187</v>
      </c>
      <c r="H158" s="3" t="s">
        <v>188</v>
      </c>
      <c r="I158" s="58"/>
    </row>
    <row r="159" spans="1:9" ht="12" customHeight="1">
      <c r="A159" s="55"/>
      <c r="B159" s="56"/>
      <c r="C159" s="57" t="s">
        <v>49</v>
      </c>
      <c r="D159" s="57"/>
      <c r="E159" s="57"/>
      <c r="F159" s="57">
        <f t="shared" si="2"/>
        <v>0</v>
      </c>
      <c r="G159" s="1" t="s">
        <v>189</v>
      </c>
      <c r="H159" s="3" t="s">
        <v>190</v>
      </c>
      <c r="I159" s="58"/>
    </row>
    <row r="160" spans="1:9" ht="12" customHeight="1">
      <c r="A160" s="27">
        <v>46286</v>
      </c>
      <c r="B160" s="28" t="s">
        <v>192</v>
      </c>
      <c r="C160" s="29" t="s">
        <v>49</v>
      </c>
      <c r="D160" s="30">
        <v>1405556</v>
      </c>
      <c r="E160" s="30">
        <v>112444</v>
      </c>
      <c r="F160" s="30">
        <f>+D160+E160</f>
        <v>1518000</v>
      </c>
      <c r="G160" s="1" t="s">
        <v>193</v>
      </c>
      <c r="H160" s="3" t="s">
        <v>194</v>
      </c>
      <c r="I160" s="6" t="s">
        <v>195</v>
      </c>
    </row>
    <row r="161" spans="1:9" ht="12" customHeight="1">
      <c r="A161" s="27">
        <v>46282</v>
      </c>
      <c r="B161" s="28" t="s">
        <v>196</v>
      </c>
      <c r="C161" s="29" t="s">
        <v>49</v>
      </c>
      <c r="D161" s="30">
        <v>1488889</v>
      </c>
      <c r="E161" s="30">
        <v>119111</v>
      </c>
      <c r="F161" s="30">
        <f t="shared" si="2"/>
        <v>1608000</v>
      </c>
      <c r="G161" s="1" t="s">
        <v>193</v>
      </c>
      <c r="H161" s="3" t="s">
        <v>194</v>
      </c>
      <c r="I161" s="6" t="s">
        <v>195</v>
      </c>
    </row>
    <row r="162" spans="1:9" ht="12" customHeight="1">
      <c r="A162" s="27">
        <v>46282</v>
      </c>
      <c r="B162" s="28" t="s">
        <v>197</v>
      </c>
      <c r="C162" s="29" t="s">
        <v>49</v>
      </c>
      <c r="D162" s="30">
        <v>1488889</v>
      </c>
      <c r="E162" s="30">
        <v>119111</v>
      </c>
      <c r="F162" s="30">
        <f>+D162+E162</f>
        <v>1608000</v>
      </c>
      <c r="G162" s="1" t="s">
        <v>198</v>
      </c>
      <c r="H162" s="3" t="s">
        <v>199</v>
      </c>
      <c r="I162" s="6" t="s">
        <v>200</v>
      </c>
    </row>
    <row r="163" spans="1:9" ht="12" customHeight="1">
      <c r="A163" s="27">
        <v>46286</v>
      </c>
      <c r="B163" s="28" t="s">
        <v>201</v>
      </c>
      <c r="C163" s="29" t="s">
        <v>49</v>
      </c>
      <c r="D163" s="30">
        <v>1405556</v>
      </c>
      <c r="E163" s="30">
        <v>112444</v>
      </c>
      <c r="F163" s="30">
        <f t="shared" si="2"/>
        <v>1518000</v>
      </c>
      <c r="G163" s="1" t="s">
        <v>198</v>
      </c>
      <c r="H163" s="3" t="s">
        <v>199</v>
      </c>
      <c r="I163" s="6" t="s">
        <v>200</v>
      </c>
    </row>
    <row r="164" spans="1:9" ht="12" customHeight="1">
      <c r="A164" s="55">
        <v>46284</v>
      </c>
      <c r="B164" s="64" t="s">
        <v>202</v>
      </c>
      <c r="C164" s="57" t="s">
        <v>49</v>
      </c>
      <c r="D164" s="57">
        <v>1435185</v>
      </c>
      <c r="E164" s="57">
        <v>114815</v>
      </c>
      <c r="F164" s="57">
        <f>+D164+E164</f>
        <v>1550000</v>
      </c>
      <c r="G164" s="1" t="s">
        <v>203</v>
      </c>
      <c r="H164" s="3" t="s">
        <v>204</v>
      </c>
      <c r="I164" s="58" t="s">
        <v>205</v>
      </c>
    </row>
    <row r="165" spans="1:9" ht="12" customHeight="1">
      <c r="A165" s="55"/>
      <c r="B165" s="57"/>
      <c r="C165" s="57" t="s">
        <v>49</v>
      </c>
      <c r="D165" s="57"/>
      <c r="E165" s="57"/>
      <c r="F165" s="57"/>
      <c r="G165" s="1" t="s">
        <v>206</v>
      </c>
      <c r="H165" s="3" t="s">
        <v>207</v>
      </c>
      <c r="I165" s="58"/>
    </row>
    <row r="166" spans="1:9" ht="12" customHeight="1">
      <c r="A166" s="55"/>
      <c r="B166" s="57"/>
      <c r="C166" s="57" t="s">
        <v>49</v>
      </c>
      <c r="D166" s="57"/>
      <c r="E166" s="57"/>
      <c r="F166" s="57"/>
      <c r="G166" s="1" t="s">
        <v>208</v>
      </c>
      <c r="H166" s="3" t="s">
        <v>209</v>
      </c>
      <c r="I166" s="58"/>
    </row>
    <row r="167" spans="1:9" ht="12" customHeight="1">
      <c r="A167" s="55"/>
      <c r="B167" s="57"/>
      <c r="C167" s="57" t="s">
        <v>49</v>
      </c>
      <c r="D167" s="57"/>
      <c r="E167" s="57"/>
      <c r="F167" s="57"/>
      <c r="G167" s="1" t="s">
        <v>210</v>
      </c>
      <c r="H167" s="3" t="s">
        <v>211</v>
      </c>
      <c r="I167" s="58"/>
    </row>
    <row r="168" spans="1:9" ht="12" customHeight="1">
      <c r="A168" s="55"/>
      <c r="B168" s="57"/>
      <c r="C168" s="57" t="s">
        <v>49</v>
      </c>
      <c r="D168" s="57"/>
      <c r="E168" s="57"/>
      <c r="F168" s="57"/>
      <c r="G168" s="1" t="s">
        <v>212</v>
      </c>
      <c r="H168" s="31" t="s">
        <v>213</v>
      </c>
      <c r="I168" s="58"/>
    </row>
    <row r="169" spans="1:9" ht="12" customHeight="1">
      <c r="A169" s="55"/>
      <c r="B169" s="57"/>
      <c r="C169" s="57" t="s">
        <v>49</v>
      </c>
      <c r="D169" s="57"/>
      <c r="E169" s="57"/>
      <c r="F169" s="57"/>
      <c r="G169" s="1" t="s">
        <v>214</v>
      </c>
      <c r="H169" s="3" t="s">
        <v>215</v>
      </c>
      <c r="I169" s="58"/>
    </row>
    <row r="170" spans="1:9" ht="12" customHeight="1">
      <c r="A170" s="55"/>
      <c r="B170" s="57"/>
      <c r="C170" s="57" t="s">
        <v>49</v>
      </c>
      <c r="D170" s="57"/>
      <c r="E170" s="57"/>
      <c r="F170" s="57"/>
      <c r="G170" s="1" t="s">
        <v>216</v>
      </c>
      <c r="H170" s="3" t="s">
        <v>217</v>
      </c>
      <c r="I170" s="58"/>
    </row>
    <row r="171" spans="1:9" ht="12" customHeight="1">
      <c r="A171" s="55"/>
      <c r="B171" s="57"/>
      <c r="C171" s="57" t="s">
        <v>49</v>
      </c>
      <c r="D171" s="57"/>
      <c r="E171" s="57"/>
      <c r="F171" s="57"/>
      <c r="G171" s="1" t="s">
        <v>218</v>
      </c>
      <c r="H171" s="3" t="s">
        <v>219</v>
      </c>
      <c r="I171" s="58"/>
    </row>
    <row r="172" spans="1:9" ht="12" customHeight="1">
      <c r="A172" s="55"/>
      <c r="B172" s="57"/>
      <c r="C172" s="57" t="s">
        <v>49</v>
      </c>
      <c r="D172" s="57"/>
      <c r="E172" s="57"/>
      <c r="F172" s="57"/>
      <c r="G172" s="1" t="s">
        <v>220</v>
      </c>
      <c r="H172" s="3" t="s">
        <v>221</v>
      </c>
      <c r="I172" s="58"/>
    </row>
    <row r="173" spans="1:9" ht="12" customHeight="1">
      <c r="A173" s="55"/>
      <c r="B173" s="57"/>
      <c r="C173" s="57" t="s">
        <v>49</v>
      </c>
      <c r="D173" s="57"/>
      <c r="E173" s="57"/>
      <c r="F173" s="57"/>
      <c r="G173" s="1" t="s">
        <v>222</v>
      </c>
      <c r="H173" s="3" t="s">
        <v>223</v>
      </c>
      <c r="I173" s="58"/>
    </row>
    <row r="174" spans="1:9" ht="12" customHeight="1">
      <c r="A174" s="55"/>
      <c r="B174" s="57"/>
      <c r="C174" s="57" t="s">
        <v>49</v>
      </c>
      <c r="D174" s="57"/>
      <c r="E174" s="57"/>
      <c r="F174" s="57"/>
      <c r="G174" s="1" t="s">
        <v>224</v>
      </c>
      <c r="H174" s="3" t="s">
        <v>225</v>
      </c>
      <c r="I174" s="58"/>
    </row>
    <row r="175" spans="1:9" ht="12" customHeight="1">
      <c r="A175" s="55">
        <v>46286</v>
      </c>
      <c r="B175" s="62">
        <v>125822</v>
      </c>
      <c r="C175" s="57" t="s">
        <v>49</v>
      </c>
      <c r="D175" s="57">
        <v>1416667</v>
      </c>
      <c r="E175" s="57">
        <v>113333</v>
      </c>
      <c r="F175" s="57">
        <f t="shared" si="2"/>
        <v>1530000</v>
      </c>
      <c r="G175" s="1" t="s">
        <v>203</v>
      </c>
      <c r="H175" s="3" t="s">
        <v>204</v>
      </c>
      <c r="I175" s="58" t="s">
        <v>205</v>
      </c>
    </row>
    <row r="176" spans="1:9" ht="12" customHeight="1">
      <c r="A176" s="55"/>
      <c r="B176" s="62"/>
      <c r="C176" s="57" t="s">
        <v>49</v>
      </c>
      <c r="D176" s="57"/>
      <c r="E176" s="57"/>
      <c r="F176" s="57">
        <f t="shared" si="2"/>
        <v>0</v>
      </c>
      <c r="G176" s="1" t="s">
        <v>206</v>
      </c>
      <c r="H176" s="3" t="s">
        <v>207</v>
      </c>
      <c r="I176" s="58"/>
    </row>
    <row r="177" spans="1:9" ht="12" customHeight="1">
      <c r="A177" s="55"/>
      <c r="B177" s="62"/>
      <c r="C177" s="57" t="s">
        <v>49</v>
      </c>
      <c r="D177" s="57"/>
      <c r="E177" s="57"/>
      <c r="F177" s="57">
        <f t="shared" si="2"/>
        <v>0</v>
      </c>
      <c r="G177" s="1" t="s">
        <v>208</v>
      </c>
      <c r="H177" s="3" t="s">
        <v>209</v>
      </c>
      <c r="I177" s="58"/>
    </row>
    <row r="178" spans="1:9" ht="12" customHeight="1">
      <c r="A178" s="55"/>
      <c r="B178" s="62"/>
      <c r="C178" s="57" t="s">
        <v>49</v>
      </c>
      <c r="D178" s="57"/>
      <c r="E178" s="57"/>
      <c r="F178" s="57">
        <f t="shared" si="2"/>
        <v>0</v>
      </c>
      <c r="G178" s="1" t="s">
        <v>210</v>
      </c>
      <c r="H178" s="3" t="s">
        <v>211</v>
      </c>
      <c r="I178" s="58"/>
    </row>
    <row r="179" spans="1:9" ht="12" customHeight="1">
      <c r="A179" s="55"/>
      <c r="B179" s="62"/>
      <c r="C179" s="57" t="s">
        <v>49</v>
      </c>
      <c r="D179" s="57"/>
      <c r="E179" s="57"/>
      <c r="F179" s="57">
        <f t="shared" si="2"/>
        <v>0</v>
      </c>
      <c r="G179" s="1" t="s">
        <v>212</v>
      </c>
      <c r="H179" s="31" t="s">
        <v>213</v>
      </c>
      <c r="I179" s="58"/>
    </row>
    <row r="180" spans="1:9" ht="12" customHeight="1">
      <c r="A180" s="55"/>
      <c r="B180" s="62"/>
      <c r="C180" s="57" t="s">
        <v>49</v>
      </c>
      <c r="D180" s="57"/>
      <c r="E180" s="57"/>
      <c r="F180" s="57">
        <f t="shared" si="2"/>
        <v>0</v>
      </c>
      <c r="G180" s="1" t="s">
        <v>214</v>
      </c>
      <c r="H180" s="3" t="s">
        <v>215</v>
      </c>
      <c r="I180" s="58"/>
    </row>
    <row r="181" spans="1:9" ht="12" customHeight="1">
      <c r="A181" s="55"/>
      <c r="B181" s="62"/>
      <c r="C181" s="57" t="s">
        <v>49</v>
      </c>
      <c r="D181" s="57"/>
      <c r="E181" s="57"/>
      <c r="F181" s="57">
        <f t="shared" si="2"/>
        <v>0</v>
      </c>
      <c r="G181" s="1" t="s">
        <v>216</v>
      </c>
      <c r="H181" s="3" t="s">
        <v>217</v>
      </c>
      <c r="I181" s="58"/>
    </row>
    <row r="182" spans="1:9" ht="12" customHeight="1">
      <c r="A182" s="55"/>
      <c r="B182" s="62"/>
      <c r="C182" s="57" t="s">
        <v>49</v>
      </c>
      <c r="D182" s="57"/>
      <c r="E182" s="57"/>
      <c r="F182" s="57">
        <f t="shared" ref="F182:F307" si="3">+D182+E182</f>
        <v>0</v>
      </c>
      <c r="G182" s="1" t="s">
        <v>218</v>
      </c>
      <c r="H182" s="3" t="s">
        <v>219</v>
      </c>
      <c r="I182" s="58"/>
    </row>
    <row r="183" spans="1:9" ht="12" customHeight="1">
      <c r="A183" s="55"/>
      <c r="B183" s="62"/>
      <c r="C183" s="57" t="s">
        <v>49</v>
      </c>
      <c r="D183" s="57"/>
      <c r="E183" s="57"/>
      <c r="F183" s="57">
        <f t="shared" si="3"/>
        <v>0</v>
      </c>
      <c r="G183" s="1" t="s">
        <v>220</v>
      </c>
      <c r="H183" s="3" t="s">
        <v>221</v>
      </c>
      <c r="I183" s="58"/>
    </row>
    <row r="184" spans="1:9" ht="12" customHeight="1">
      <c r="A184" s="55"/>
      <c r="B184" s="62"/>
      <c r="C184" s="57" t="s">
        <v>49</v>
      </c>
      <c r="D184" s="57"/>
      <c r="E184" s="57"/>
      <c r="F184" s="57">
        <f t="shared" si="3"/>
        <v>0</v>
      </c>
      <c r="G184" s="1" t="s">
        <v>222</v>
      </c>
      <c r="H184" s="3" t="s">
        <v>223</v>
      </c>
      <c r="I184" s="58"/>
    </row>
    <row r="185" spans="1:9" ht="12" customHeight="1">
      <c r="A185" s="55"/>
      <c r="B185" s="62"/>
      <c r="C185" s="57" t="s">
        <v>49</v>
      </c>
      <c r="D185" s="57"/>
      <c r="E185" s="57"/>
      <c r="F185" s="57">
        <f t="shared" si="3"/>
        <v>0</v>
      </c>
      <c r="G185" s="1" t="s">
        <v>224</v>
      </c>
      <c r="H185" s="3" t="s">
        <v>225</v>
      </c>
      <c r="I185" s="58"/>
    </row>
    <row r="186" spans="1:9" ht="12" customHeight="1">
      <c r="A186" s="55">
        <v>46284</v>
      </c>
      <c r="B186" s="57" t="s">
        <v>226</v>
      </c>
      <c r="C186" s="57" t="s">
        <v>49</v>
      </c>
      <c r="D186" s="57">
        <v>1435185</v>
      </c>
      <c r="E186" s="57">
        <v>114815</v>
      </c>
      <c r="F186" s="57">
        <f>+D186+E186</f>
        <v>1550000</v>
      </c>
      <c r="G186" s="1" t="s">
        <v>227</v>
      </c>
      <c r="H186" s="3" t="s">
        <v>228</v>
      </c>
      <c r="I186" s="58" t="s">
        <v>229</v>
      </c>
    </row>
    <row r="187" spans="1:9" ht="12" customHeight="1">
      <c r="A187" s="55"/>
      <c r="B187" s="57"/>
      <c r="C187" s="57" t="s">
        <v>49</v>
      </c>
      <c r="D187" s="57"/>
      <c r="E187" s="57"/>
      <c r="F187" s="57"/>
      <c r="G187" s="1" t="s">
        <v>230</v>
      </c>
      <c r="H187" s="3" t="s">
        <v>231</v>
      </c>
      <c r="I187" s="58"/>
    </row>
    <row r="188" spans="1:9" ht="12" customHeight="1">
      <c r="A188" s="55"/>
      <c r="B188" s="57"/>
      <c r="C188" s="57" t="s">
        <v>49</v>
      </c>
      <c r="D188" s="57"/>
      <c r="E188" s="57"/>
      <c r="F188" s="57"/>
      <c r="G188" s="1" t="s">
        <v>232</v>
      </c>
      <c r="H188" s="3" t="s">
        <v>233</v>
      </c>
      <c r="I188" s="58"/>
    </row>
    <row r="189" spans="1:9" ht="12" customHeight="1">
      <c r="A189" s="55"/>
      <c r="B189" s="57"/>
      <c r="C189" s="57" t="s">
        <v>49</v>
      </c>
      <c r="D189" s="57"/>
      <c r="E189" s="57"/>
      <c r="F189" s="57"/>
      <c r="G189" s="1" t="s">
        <v>234</v>
      </c>
      <c r="H189" s="3" t="s">
        <v>235</v>
      </c>
      <c r="I189" s="58"/>
    </row>
    <row r="190" spans="1:9" ht="12" customHeight="1">
      <c r="A190" s="55"/>
      <c r="B190" s="57"/>
      <c r="C190" s="57" t="s">
        <v>49</v>
      </c>
      <c r="D190" s="57"/>
      <c r="E190" s="57"/>
      <c r="F190" s="57"/>
      <c r="G190" s="1" t="s">
        <v>236</v>
      </c>
      <c r="H190" s="3" t="s">
        <v>237</v>
      </c>
      <c r="I190" s="58"/>
    </row>
    <row r="191" spans="1:9" ht="12" customHeight="1">
      <c r="A191" s="55"/>
      <c r="B191" s="57"/>
      <c r="C191" s="57" t="s">
        <v>49</v>
      </c>
      <c r="D191" s="57"/>
      <c r="E191" s="57"/>
      <c r="F191" s="57"/>
      <c r="G191" s="1" t="s">
        <v>238</v>
      </c>
      <c r="H191" s="3" t="s">
        <v>239</v>
      </c>
      <c r="I191" s="58"/>
    </row>
    <row r="192" spans="1:9" ht="12" customHeight="1">
      <c r="A192" s="55"/>
      <c r="B192" s="57"/>
      <c r="C192" s="57" t="s">
        <v>49</v>
      </c>
      <c r="D192" s="57"/>
      <c r="E192" s="57"/>
      <c r="F192" s="57"/>
      <c r="G192" s="1" t="s">
        <v>240</v>
      </c>
      <c r="H192" s="3" t="s">
        <v>241</v>
      </c>
      <c r="I192" s="58"/>
    </row>
    <row r="193" spans="1:9" ht="12" customHeight="1">
      <c r="A193" s="55"/>
      <c r="B193" s="57"/>
      <c r="C193" s="57" t="s">
        <v>49</v>
      </c>
      <c r="D193" s="57"/>
      <c r="E193" s="57"/>
      <c r="F193" s="57"/>
      <c r="G193" s="1" t="s">
        <v>242</v>
      </c>
      <c r="H193" s="3" t="s">
        <v>243</v>
      </c>
      <c r="I193" s="58"/>
    </row>
    <row r="194" spans="1:9" ht="12" customHeight="1">
      <c r="A194" s="55">
        <v>46287</v>
      </c>
      <c r="B194" s="57" t="s">
        <v>244</v>
      </c>
      <c r="C194" s="57" t="s">
        <v>49</v>
      </c>
      <c r="D194" s="57">
        <v>1500000</v>
      </c>
      <c r="E194" s="57">
        <v>120000</v>
      </c>
      <c r="F194" s="57">
        <f t="shared" si="3"/>
        <v>1620000</v>
      </c>
      <c r="G194" s="1" t="s">
        <v>227</v>
      </c>
      <c r="H194" s="3" t="s">
        <v>228</v>
      </c>
      <c r="I194" s="58" t="s">
        <v>229</v>
      </c>
    </row>
    <row r="195" spans="1:9" ht="12" customHeight="1">
      <c r="A195" s="55"/>
      <c r="B195" s="57"/>
      <c r="C195" s="57" t="s">
        <v>49</v>
      </c>
      <c r="D195" s="57"/>
      <c r="E195" s="57"/>
      <c r="F195" s="57">
        <f t="shared" si="3"/>
        <v>0</v>
      </c>
      <c r="G195" s="1" t="s">
        <v>230</v>
      </c>
      <c r="H195" s="3" t="s">
        <v>231</v>
      </c>
      <c r="I195" s="58"/>
    </row>
    <row r="196" spans="1:9" ht="12" customHeight="1">
      <c r="A196" s="55"/>
      <c r="B196" s="57"/>
      <c r="C196" s="57" t="s">
        <v>49</v>
      </c>
      <c r="D196" s="57"/>
      <c r="E196" s="57"/>
      <c r="F196" s="57">
        <f t="shared" si="3"/>
        <v>0</v>
      </c>
      <c r="G196" s="1" t="s">
        <v>232</v>
      </c>
      <c r="H196" s="3" t="s">
        <v>233</v>
      </c>
      <c r="I196" s="58"/>
    </row>
    <row r="197" spans="1:9" ht="12" customHeight="1">
      <c r="A197" s="55"/>
      <c r="B197" s="57"/>
      <c r="C197" s="57" t="s">
        <v>49</v>
      </c>
      <c r="D197" s="57"/>
      <c r="E197" s="57"/>
      <c r="F197" s="57">
        <f t="shared" si="3"/>
        <v>0</v>
      </c>
      <c r="G197" s="1" t="s">
        <v>234</v>
      </c>
      <c r="H197" s="3" t="s">
        <v>235</v>
      </c>
      <c r="I197" s="58"/>
    </row>
    <row r="198" spans="1:9" ht="12" customHeight="1">
      <c r="A198" s="55"/>
      <c r="B198" s="57"/>
      <c r="C198" s="57" t="s">
        <v>49</v>
      </c>
      <c r="D198" s="57"/>
      <c r="E198" s="57"/>
      <c r="F198" s="57">
        <f t="shared" si="3"/>
        <v>0</v>
      </c>
      <c r="G198" s="1" t="s">
        <v>236</v>
      </c>
      <c r="H198" s="3" t="s">
        <v>237</v>
      </c>
      <c r="I198" s="58"/>
    </row>
    <row r="199" spans="1:9" ht="12" customHeight="1">
      <c r="A199" s="55"/>
      <c r="B199" s="57"/>
      <c r="C199" s="57" t="s">
        <v>49</v>
      </c>
      <c r="D199" s="57"/>
      <c r="E199" s="57"/>
      <c r="F199" s="57">
        <f t="shared" si="3"/>
        <v>0</v>
      </c>
      <c r="G199" s="1" t="s">
        <v>238</v>
      </c>
      <c r="H199" s="3" t="s">
        <v>239</v>
      </c>
      <c r="I199" s="58"/>
    </row>
    <row r="200" spans="1:9" ht="12" customHeight="1">
      <c r="A200" s="55"/>
      <c r="B200" s="57"/>
      <c r="C200" s="57" t="s">
        <v>49</v>
      </c>
      <c r="D200" s="57"/>
      <c r="E200" s="57"/>
      <c r="F200" s="57">
        <f t="shared" si="3"/>
        <v>0</v>
      </c>
      <c r="G200" s="1" t="s">
        <v>240</v>
      </c>
      <c r="H200" s="3" t="s">
        <v>241</v>
      </c>
      <c r="I200" s="58"/>
    </row>
    <row r="201" spans="1:9" ht="12" customHeight="1">
      <c r="A201" s="55"/>
      <c r="B201" s="57"/>
      <c r="C201" s="57" t="s">
        <v>49</v>
      </c>
      <c r="D201" s="57"/>
      <c r="E201" s="57"/>
      <c r="F201" s="57">
        <f t="shared" si="3"/>
        <v>0</v>
      </c>
      <c r="G201" s="1" t="s">
        <v>242</v>
      </c>
      <c r="H201" s="3" t="s">
        <v>243</v>
      </c>
      <c r="I201" s="58"/>
    </row>
    <row r="202" spans="1:9" ht="12" customHeight="1">
      <c r="A202" s="55">
        <v>46288</v>
      </c>
      <c r="B202" s="63" t="s">
        <v>245</v>
      </c>
      <c r="C202" s="57" t="s">
        <v>49</v>
      </c>
      <c r="D202" s="57">
        <v>1500000</v>
      </c>
      <c r="E202" s="57">
        <v>120000</v>
      </c>
      <c r="F202" s="57">
        <f>+D202+E202</f>
        <v>1620000</v>
      </c>
      <c r="G202" s="1" t="s">
        <v>246</v>
      </c>
      <c r="H202" s="3" t="s">
        <v>247</v>
      </c>
      <c r="I202" s="58" t="s">
        <v>248</v>
      </c>
    </row>
    <row r="203" spans="1:9" ht="12" customHeight="1">
      <c r="A203" s="55"/>
      <c r="B203" s="63"/>
      <c r="C203" s="57" t="s">
        <v>49</v>
      </c>
      <c r="D203" s="57"/>
      <c r="E203" s="57"/>
      <c r="F203" s="57"/>
      <c r="G203" s="1" t="s">
        <v>249</v>
      </c>
      <c r="H203" s="3" t="s">
        <v>250</v>
      </c>
      <c r="I203" s="58"/>
    </row>
    <row r="204" spans="1:9" ht="12" customHeight="1">
      <c r="A204" s="55"/>
      <c r="B204" s="63"/>
      <c r="C204" s="57" t="s">
        <v>49</v>
      </c>
      <c r="D204" s="57"/>
      <c r="E204" s="57"/>
      <c r="F204" s="57"/>
      <c r="G204" s="1" t="s">
        <v>251</v>
      </c>
      <c r="H204" s="3" t="s">
        <v>252</v>
      </c>
      <c r="I204" s="58"/>
    </row>
    <row r="205" spans="1:9" ht="12" customHeight="1">
      <c r="A205" s="55"/>
      <c r="B205" s="63"/>
      <c r="C205" s="57" t="s">
        <v>49</v>
      </c>
      <c r="D205" s="57"/>
      <c r="E205" s="57"/>
      <c r="F205" s="57"/>
      <c r="G205" s="1" t="s">
        <v>253</v>
      </c>
      <c r="H205" s="3" t="s">
        <v>254</v>
      </c>
      <c r="I205" s="58"/>
    </row>
    <row r="206" spans="1:9" ht="12" customHeight="1">
      <c r="A206" s="55"/>
      <c r="B206" s="63"/>
      <c r="C206" s="57" t="s">
        <v>49</v>
      </c>
      <c r="D206" s="57"/>
      <c r="E206" s="57"/>
      <c r="F206" s="57"/>
      <c r="G206" s="1" t="s">
        <v>255</v>
      </c>
      <c r="H206" s="26" t="s">
        <v>256</v>
      </c>
      <c r="I206" s="58"/>
    </row>
    <row r="207" spans="1:9" ht="12" customHeight="1">
      <c r="A207" s="55"/>
      <c r="B207" s="63"/>
      <c r="C207" s="57" t="s">
        <v>49</v>
      </c>
      <c r="D207" s="57"/>
      <c r="E207" s="57"/>
      <c r="F207" s="57"/>
      <c r="G207" s="1" t="s">
        <v>257</v>
      </c>
      <c r="H207" s="3" t="s">
        <v>258</v>
      </c>
      <c r="I207" s="58"/>
    </row>
    <row r="208" spans="1:9" ht="12" customHeight="1">
      <c r="A208" s="55"/>
      <c r="B208" s="63"/>
      <c r="C208" s="57" t="s">
        <v>49</v>
      </c>
      <c r="D208" s="57"/>
      <c r="E208" s="57"/>
      <c r="F208" s="57"/>
      <c r="G208" s="1" t="s">
        <v>259</v>
      </c>
      <c r="H208" s="3" t="s">
        <v>260</v>
      </c>
      <c r="I208" s="58"/>
    </row>
    <row r="209" spans="1:9" ht="12" customHeight="1">
      <c r="A209" s="55"/>
      <c r="B209" s="63"/>
      <c r="C209" s="57" t="s">
        <v>49</v>
      </c>
      <c r="D209" s="57"/>
      <c r="E209" s="57"/>
      <c r="F209" s="57"/>
      <c r="G209" s="1" t="s">
        <v>261</v>
      </c>
      <c r="H209" s="3" t="s">
        <v>262</v>
      </c>
      <c r="I209" s="58"/>
    </row>
    <row r="210" spans="1:9" ht="12" customHeight="1">
      <c r="A210" s="55">
        <v>46288</v>
      </c>
      <c r="B210" s="63" t="s">
        <v>263</v>
      </c>
      <c r="C210" s="57" t="s">
        <v>49</v>
      </c>
      <c r="D210" s="57">
        <v>1674074</v>
      </c>
      <c r="E210" s="57">
        <v>133926</v>
      </c>
      <c r="F210" s="57">
        <f>+D210+E210</f>
        <v>1808000</v>
      </c>
      <c r="G210" s="1" t="s">
        <v>246</v>
      </c>
      <c r="H210" s="3" t="s">
        <v>247</v>
      </c>
      <c r="I210" s="58" t="s">
        <v>248</v>
      </c>
    </row>
    <row r="211" spans="1:9" ht="12" customHeight="1">
      <c r="A211" s="55"/>
      <c r="B211" s="63"/>
      <c r="C211" s="57" t="s">
        <v>49</v>
      </c>
      <c r="D211" s="57"/>
      <c r="E211" s="57"/>
      <c r="F211" s="57">
        <f t="shared" si="3"/>
        <v>0</v>
      </c>
      <c r="G211" s="1" t="s">
        <v>249</v>
      </c>
      <c r="H211" s="3" t="s">
        <v>250</v>
      </c>
      <c r="I211" s="58"/>
    </row>
    <row r="212" spans="1:9" ht="12" customHeight="1">
      <c r="A212" s="55"/>
      <c r="B212" s="63"/>
      <c r="C212" s="57" t="s">
        <v>49</v>
      </c>
      <c r="D212" s="57"/>
      <c r="E212" s="57"/>
      <c r="F212" s="57">
        <f t="shared" si="3"/>
        <v>0</v>
      </c>
      <c r="G212" s="1" t="s">
        <v>251</v>
      </c>
      <c r="H212" s="3" t="s">
        <v>252</v>
      </c>
      <c r="I212" s="58"/>
    </row>
    <row r="213" spans="1:9" ht="12" customHeight="1">
      <c r="A213" s="55"/>
      <c r="B213" s="63"/>
      <c r="C213" s="57" t="s">
        <v>49</v>
      </c>
      <c r="D213" s="57"/>
      <c r="E213" s="57"/>
      <c r="F213" s="57">
        <f t="shared" si="3"/>
        <v>0</v>
      </c>
      <c r="G213" s="1" t="s">
        <v>253</v>
      </c>
      <c r="H213" s="3" t="s">
        <v>254</v>
      </c>
      <c r="I213" s="58"/>
    </row>
    <row r="214" spans="1:9" ht="12" customHeight="1">
      <c r="A214" s="55"/>
      <c r="B214" s="63"/>
      <c r="C214" s="57" t="s">
        <v>49</v>
      </c>
      <c r="D214" s="57"/>
      <c r="E214" s="57"/>
      <c r="F214" s="57">
        <f t="shared" si="3"/>
        <v>0</v>
      </c>
      <c r="G214" s="1" t="s">
        <v>255</v>
      </c>
      <c r="H214" s="26" t="s">
        <v>256</v>
      </c>
      <c r="I214" s="58"/>
    </row>
    <row r="215" spans="1:9" ht="12" customHeight="1">
      <c r="A215" s="55"/>
      <c r="B215" s="63"/>
      <c r="C215" s="57" t="s">
        <v>49</v>
      </c>
      <c r="D215" s="57"/>
      <c r="E215" s="57"/>
      <c r="F215" s="57">
        <f t="shared" si="3"/>
        <v>0</v>
      </c>
      <c r="G215" s="1" t="s">
        <v>257</v>
      </c>
      <c r="H215" s="3" t="s">
        <v>258</v>
      </c>
      <c r="I215" s="58"/>
    </row>
    <row r="216" spans="1:9" ht="12" customHeight="1">
      <c r="A216" s="55"/>
      <c r="B216" s="63"/>
      <c r="C216" s="57" t="s">
        <v>49</v>
      </c>
      <c r="D216" s="57"/>
      <c r="E216" s="57"/>
      <c r="F216" s="57">
        <f t="shared" si="3"/>
        <v>0</v>
      </c>
      <c r="G216" s="1" t="s">
        <v>259</v>
      </c>
      <c r="H216" s="3" t="s">
        <v>260</v>
      </c>
      <c r="I216" s="58"/>
    </row>
    <row r="217" spans="1:9" ht="12" customHeight="1">
      <c r="A217" s="55"/>
      <c r="B217" s="63"/>
      <c r="C217" s="57" t="s">
        <v>49</v>
      </c>
      <c r="D217" s="57"/>
      <c r="E217" s="57"/>
      <c r="F217" s="57">
        <f t="shared" si="3"/>
        <v>0</v>
      </c>
      <c r="G217" s="1" t="s">
        <v>261</v>
      </c>
      <c r="H217" s="3" t="s">
        <v>262</v>
      </c>
      <c r="I217" s="58"/>
    </row>
    <row r="218" spans="1:9" ht="12" customHeight="1">
      <c r="A218" s="55">
        <v>46286</v>
      </c>
      <c r="B218" s="62">
        <v>21569</v>
      </c>
      <c r="C218" s="57" t="s">
        <v>49</v>
      </c>
      <c r="D218" s="57">
        <v>1648148</v>
      </c>
      <c r="E218" s="57">
        <v>131852</v>
      </c>
      <c r="F218" s="57">
        <f>+D218+E218</f>
        <v>1780000</v>
      </c>
      <c r="G218" s="1" t="s">
        <v>264</v>
      </c>
      <c r="H218" s="3" t="s">
        <v>265</v>
      </c>
      <c r="I218" s="58" t="s">
        <v>266</v>
      </c>
    </row>
    <row r="219" spans="1:9" ht="12" customHeight="1">
      <c r="A219" s="55"/>
      <c r="B219" s="62"/>
      <c r="C219" s="57" t="s">
        <v>49</v>
      </c>
      <c r="D219" s="57"/>
      <c r="E219" s="57"/>
      <c r="F219" s="57"/>
      <c r="G219" s="1" t="s">
        <v>267</v>
      </c>
      <c r="H219" s="3" t="s">
        <v>268</v>
      </c>
      <c r="I219" s="58"/>
    </row>
    <row r="220" spans="1:9" ht="12" customHeight="1">
      <c r="A220" s="55"/>
      <c r="B220" s="62"/>
      <c r="C220" s="57" t="s">
        <v>49</v>
      </c>
      <c r="D220" s="57"/>
      <c r="E220" s="57"/>
      <c r="F220" s="57"/>
      <c r="G220" s="1" t="s">
        <v>269</v>
      </c>
      <c r="H220" s="3" t="s">
        <v>270</v>
      </c>
      <c r="I220" s="58"/>
    </row>
    <row r="221" spans="1:9" ht="12" customHeight="1">
      <c r="A221" s="55"/>
      <c r="B221" s="62"/>
      <c r="C221" s="57" t="s">
        <v>49</v>
      </c>
      <c r="D221" s="57"/>
      <c r="E221" s="57"/>
      <c r="F221" s="57"/>
      <c r="G221" s="1" t="s">
        <v>271</v>
      </c>
      <c r="H221" s="3" t="s">
        <v>272</v>
      </c>
      <c r="I221" s="58"/>
    </row>
    <row r="222" spans="1:9" ht="12" customHeight="1">
      <c r="A222" s="55"/>
      <c r="B222" s="62"/>
      <c r="C222" s="57" t="s">
        <v>49</v>
      </c>
      <c r="D222" s="57"/>
      <c r="E222" s="57"/>
      <c r="F222" s="57"/>
      <c r="G222" s="1" t="s">
        <v>273</v>
      </c>
      <c r="H222" s="3" t="s">
        <v>274</v>
      </c>
      <c r="I222" s="58"/>
    </row>
    <row r="223" spans="1:9" ht="12" customHeight="1">
      <c r="A223" s="55"/>
      <c r="B223" s="62"/>
      <c r="C223" s="57" t="s">
        <v>49</v>
      </c>
      <c r="D223" s="57"/>
      <c r="E223" s="57"/>
      <c r="F223" s="57"/>
      <c r="G223" s="1" t="s">
        <v>275</v>
      </c>
      <c r="H223" s="3" t="s">
        <v>276</v>
      </c>
      <c r="I223" s="58"/>
    </row>
    <row r="224" spans="1:9" ht="12" customHeight="1">
      <c r="A224" s="55"/>
      <c r="B224" s="62"/>
      <c r="C224" s="57" t="s">
        <v>49</v>
      </c>
      <c r="D224" s="57"/>
      <c r="E224" s="57"/>
      <c r="F224" s="57"/>
      <c r="G224" s="1" t="s">
        <v>277</v>
      </c>
      <c r="H224" s="3" t="s">
        <v>278</v>
      </c>
      <c r="I224" s="58"/>
    </row>
    <row r="225" spans="1:9" ht="12" customHeight="1">
      <c r="A225" s="55"/>
      <c r="B225" s="62"/>
      <c r="C225" s="57" t="s">
        <v>49</v>
      </c>
      <c r="D225" s="57"/>
      <c r="E225" s="57"/>
      <c r="F225" s="57"/>
      <c r="G225" s="1" t="s">
        <v>279</v>
      </c>
      <c r="H225" s="3" t="s">
        <v>280</v>
      </c>
      <c r="I225" s="58"/>
    </row>
    <row r="226" spans="1:9" ht="12" customHeight="1">
      <c r="A226" s="55"/>
      <c r="B226" s="62"/>
      <c r="C226" s="57" t="s">
        <v>49</v>
      </c>
      <c r="D226" s="57"/>
      <c r="E226" s="57"/>
      <c r="F226" s="57"/>
      <c r="G226" s="1" t="s">
        <v>281</v>
      </c>
      <c r="H226" s="3" t="s">
        <v>282</v>
      </c>
      <c r="I226" s="58"/>
    </row>
    <row r="227" spans="1:9" ht="12" customHeight="1">
      <c r="A227" s="55"/>
      <c r="B227" s="62"/>
      <c r="C227" s="57" t="s">
        <v>49</v>
      </c>
      <c r="D227" s="57"/>
      <c r="E227" s="57"/>
      <c r="F227" s="57"/>
      <c r="G227" s="1" t="s">
        <v>283</v>
      </c>
      <c r="H227" s="3" t="s">
        <v>284</v>
      </c>
      <c r="I227" s="58"/>
    </row>
    <row r="228" spans="1:9" ht="12" customHeight="1">
      <c r="A228" s="55"/>
      <c r="B228" s="62"/>
      <c r="C228" s="57" t="s">
        <v>49</v>
      </c>
      <c r="D228" s="57"/>
      <c r="E228" s="57"/>
      <c r="F228" s="57"/>
      <c r="G228" s="1" t="s">
        <v>285</v>
      </c>
      <c r="H228" s="3" t="s">
        <v>286</v>
      </c>
      <c r="I228" s="58"/>
    </row>
    <row r="229" spans="1:9" ht="12" customHeight="1">
      <c r="A229" s="55"/>
      <c r="B229" s="62"/>
      <c r="C229" s="57" t="s">
        <v>49</v>
      </c>
      <c r="D229" s="57"/>
      <c r="E229" s="57"/>
      <c r="F229" s="57"/>
      <c r="G229" s="1" t="s">
        <v>287</v>
      </c>
      <c r="H229" s="3" t="s">
        <v>288</v>
      </c>
      <c r="I229" s="58"/>
    </row>
    <row r="230" spans="1:9" ht="12" customHeight="1">
      <c r="A230" s="55">
        <v>46288</v>
      </c>
      <c r="B230" s="62">
        <v>127169</v>
      </c>
      <c r="C230" s="57" t="s">
        <v>49</v>
      </c>
      <c r="D230" s="57">
        <v>1416667</v>
      </c>
      <c r="E230" s="57">
        <v>113333</v>
      </c>
      <c r="F230" s="57">
        <f t="shared" si="3"/>
        <v>1530000</v>
      </c>
      <c r="G230" s="1" t="s">
        <v>264</v>
      </c>
      <c r="H230" s="3" t="s">
        <v>265</v>
      </c>
      <c r="I230" s="58" t="s">
        <v>266</v>
      </c>
    </row>
    <row r="231" spans="1:9" ht="12" customHeight="1">
      <c r="A231" s="55"/>
      <c r="B231" s="62"/>
      <c r="C231" s="57" t="s">
        <v>49</v>
      </c>
      <c r="D231" s="57"/>
      <c r="E231" s="57"/>
      <c r="F231" s="57">
        <f t="shared" si="3"/>
        <v>0</v>
      </c>
      <c r="G231" s="1" t="s">
        <v>267</v>
      </c>
      <c r="H231" s="3" t="s">
        <v>268</v>
      </c>
      <c r="I231" s="58"/>
    </row>
    <row r="232" spans="1:9" ht="12" customHeight="1">
      <c r="A232" s="55"/>
      <c r="B232" s="62"/>
      <c r="C232" s="57" t="s">
        <v>49</v>
      </c>
      <c r="D232" s="57"/>
      <c r="E232" s="57"/>
      <c r="F232" s="57">
        <f t="shared" si="3"/>
        <v>0</v>
      </c>
      <c r="G232" s="1" t="s">
        <v>269</v>
      </c>
      <c r="H232" s="3" t="s">
        <v>270</v>
      </c>
      <c r="I232" s="58"/>
    </row>
    <row r="233" spans="1:9" ht="12" customHeight="1">
      <c r="A233" s="55"/>
      <c r="B233" s="62"/>
      <c r="C233" s="57" t="s">
        <v>49</v>
      </c>
      <c r="D233" s="57"/>
      <c r="E233" s="57"/>
      <c r="F233" s="57">
        <f t="shared" si="3"/>
        <v>0</v>
      </c>
      <c r="G233" s="1" t="s">
        <v>271</v>
      </c>
      <c r="H233" s="3" t="s">
        <v>272</v>
      </c>
      <c r="I233" s="58"/>
    </row>
    <row r="234" spans="1:9" ht="12" customHeight="1">
      <c r="A234" s="55"/>
      <c r="B234" s="62"/>
      <c r="C234" s="57" t="s">
        <v>49</v>
      </c>
      <c r="D234" s="57"/>
      <c r="E234" s="57"/>
      <c r="F234" s="57">
        <f t="shared" si="3"/>
        <v>0</v>
      </c>
      <c r="G234" s="1" t="s">
        <v>273</v>
      </c>
      <c r="H234" s="3" t="s">
        <v>274</v>
      </c>
      <c r="I234" s="58"/>
    </row>
    <row r="235" spans="1:9" ht="12" customHeight="1">
      <c r="A235" s="55"/>
      <c r="B235" s="62"/>
      <c r="C235" s="57" t="s">
        <v>49</v>
      </c>
      <c r="D235" s="57"/>
      <c r="E235" s="57"/>
      <c r="F235" s="57">
        <f t="shared" si="3"/>
        <v>0</v>
      </c>
      <c r="G235" s="1" t="s">
        <v>275</v>
      </c>
      <c r="H235" s="3" t="s">
        <v>276</v>
      </c>
      <c r="I235" s="58"/>
    </row>
    <row r="236" spans="1:9" ht="12" customHeight="1">
      <c r="A236" s="55"/>
      <c r="B236" s="62"/>
      <c r="C236" s="57" t="s">
        <v>49</v>
      </c>
      <c r="D236" s="57"/>
      <c r="E236" s="57"/>
      <c r="F236" s="57">
        <f t="shared" si="3"/>
        <v>0</v>
      </c>
      <c r="G236" s="1" t="s">
        <v>277</v>
      </c>
      <c r="H236" s="3" t="s">
        <v>278</v>
      </c>
      <c r="I236" s="58"/>
    </row>
    <row r="237" spans="1:9" ht="12" customHeight="1">
      <c r="A237" s="55"/>
      <c r="B237" s="62"/>
      <c r="C237" s="57" t="s">
        <v>49</v>
      </c>
      <c r="D237" s="57"/>
      <c r="E237" s="57"/>
      <c r="F237" s="57">
        <f t="shared" si="3"/>
        <v>0</v>
      </c>
      <c r="G237" s="1" t="s">
        <v>279</v>
      </c>
      <c r="H237" s="3" t="s">
        <v>280</v>
      </c>
      <c r="I237" s="58"/>
    </row>
    <row r="238" spans="1:9" ht="12" customHeight="1">
      <c r="A238" s="55"/>
      <c r="B238" s="62"/>
      <c r="C238" s="57" t="s">
        <v>49</v>
      </c>
      <c r="D238" s="57"/>
      <c r="E238" s="57"/>
      <c r="F238" s="57">
        <f t="shared" si="3"/>
        <v>0</v>
      </c>
      <c r="G238" s="1" t="s">
        <v>281</v>
      </c>
      <c r="H238" s="3" t="s">
        <v>282</v>
      </c>
      <c r="I238" s="58"/>
    </row>
    <row r="239" spans="1:9" ht="12" customHeight="1">
      <c r="A239" s="55"/>
      <c r="B239" s="62"/>
      <c r="C239" s="57" t="s">
        <v>49</v>
      </c>
      <c r="D239" s="57"/>
      <c r="E239" s="57"/>
      <c r="F239" s="57">
        <f t="shared" si="3"/>
        <v>0</v>
      </c>
      <c r="G239" s="1" t="s">
        <v>283</v>
      </c>
      <c r="H239" s="3" t="s">
        <v>284</v>
      </c>
      <c r="I239" s="58"/>
    </row>
    <row r="240" spans="1:9" ht="12" customHeight="1">
      <c r="A240" s="55"/>
      <c r="B240" s="62"/>
      <c r="C240" s="57" t="s">
        <v>49</v>
      </c>
      <c r="D240" s="57"/>
      <c r="E240" s="57"/>
      <c r="F240" s="57">
        <f t="shared" si="3"/>
        <v>0</v>
      </c>
      <c r="G240" s="1" t="s">
        <v>285</v>
      </c>
      <c r="H240" s="3" t="s">
        <v>286</v>
      </c>
      <c r="I240" s="58"/>
    </row>
    <row r="241" spans="1:9" ht="12" customHeight="1">
      <c r="A241" s="55"/>
      <c r="B241" s="62"/>
      <c r="C241" s="57" t="s">
        <v>49</v>
      </c>
      <c r="D241" s="57"/>
      <c r="E241" s="57"/>
      <c r="F241" s="57">
        <f t="shared" si="3"/>
        <v>0</v>
      </c>
      <c r="G241" s="1" t="s">
        <v>287</v>
      </c>
      <c r="H241" s="3" t="s">
        <v>288</v>
      </c>
      <c r="I241" s="58"/>
    </row>
    <row r="242" spans="1:9" ht="12" customHeight="1">
      <c r="A242" s="55">
        <v>46286</v>
      </c>
      <c r="B242" s="56">
        <v>43350</v>
      </c>
      <c r="C242" s="57" t="s">
        <v>49</v>
      </c>
      <c r="D242" s="57">
        <v>1481481</v>
      </c>
      <c r="E242" s="57">
        <v>118519</v>
      </c>
      <c r="F242" s="57">
        <f>+D242+E242</f>
        <v>1600000</v>
      </c>
      <c r="G242" s="1" t="s">
        <v>289</v>
      </c>
      <c r="H242" s="3" t="s">
        <v>290</v>
      </c>
      <c r="I242" s="58" t="s">
        <v>291</v>
      </c>
    </row>
    <row r="243" spans="1:9" ht="12" customHeight="1">
      <c r="A243" s="55"/>
      <c r="B243" s="56"/>
      <c r="C243" s="57" t="s">
        <v>49</v>
      </c>
      <c r="D243" s="57"/>
      <c r="E243" s="57"/>
      <c r="F243" s="57"/>
      <c r="G243" s="1" t="s">
        <v>292</v>
      </c>
      <c r="H243" s="3" t="s">
        <v>293</v>
      </c>
      <c r="I243" s="58"/>
    </row>
    <row r="244" spans="1:9" ht="12" customHeight="1">
      <c r="A244" s="55"/>
      <c r="B244" s="56"/>
      <c r="C244" s="57" t="s">
        <v>49</v>
      </c>
      <c r="D244" s="57"/>
      <c r="E244" s="57"/>
      <c r="F244" s="57"/>
      <c r="G244" s="1" t="s">
        <v>294</v>
      </c>
      <c r="H244" s="3" t="s">
        <v>295</v>
      </c>
      <c r="I244" s="58"/>
    </row>
    <row r="245" spans="1:9" ht="12" customHeight="1">
      <c r="A245" s="55">
        <v>46288</v>
      </c>
      <c r="B245" s="56">
        <v>127178</v>
      </c>
      <c r="C245" s="57" t="s">
        <v>49</v>
      </c>
      <c r="D245" s="57">
        <v>1416667</v>
      </c>
      <c r="E245" s="57">
        <v>113333</v>
      </c>
      <c r="F245" s="57">
        <f t="shared" si="3"/>
        <v>1530000</v>
      </c>
      <c r="G245" s="1" t="s">
        <v>289</v>
      </c>
      <c r="H245" s="3" t="s">
        <v>290</v>
      </c>
      <c r="I245" s="58" t="s">
        <v>291</v>
      </c>
    </row>
    <row r="246" spans="1:9" ht="12" customHeight="1">
      <c r="A246" s="55"/>
      <c r="B246" s="56"/>
      <c r="C246" s="57" t="s">
        <v>49</v>
      </c>
      <c r="D246" s="57"/>
      <c r="E246" s="57"/>
      <c r="F246" s="57">
        <f t="shared" si="3"/>
        <v>0</v>
      </c>
      <c r="G246" s="1" t="s">
        <v>292</v>
      </c>
      <c r="H246" s="3" t="s">
        <v>293</v>
      </c>
      <c r="I246" s="58"/>
    </row>
    <row r="247" spans="1:9" ht="12" customHeight="1">
      <c r="A247" s="55"/>
      <c r="B247" s="56"/>
      <c r="C247" s="57" t="s">
        <v>49</v>
      </c>
      <c r="D247" s="57"/>
      <c r="E247" s="57"/>
      <c r="F247" s="57">
        <f t="shared" si="3"/>
        <v>0</v>
      </c>
      <c r="G247" s="1" t="s">
        <v>294</v>
      </c>
      <c r="H247" s="3" t="s">
        <v>295</v>
      </c>
      <c r="I247" s="58"/>
    </row>
    <row r="248" spans="1:9" ht="12" customHeight="1">
      <c r="A248" s="55">
        <v>46286</v>
      </c>
      <c r="B248" s="57" t="s">
        <v>296</v>
      </c>
      <c r="C248" s="57" t="s">
        <v>49</v>
      </c>
      <c r="D248" s="57">
        <v>1435185</v>
      </c>
      <c r="E248" s="57">
        <v>114815</v>
      </c>
      <c r="F248" s="57">
        <f>+D248+E248</f>
        <v>1550000</v>
      </c>
      <c r="G248" s="1" t="s">
        <v>297</v>
      </c>
      <c r="H248" s="26" t="s">
        <v>298</v>
      </c>
      <c r="I248" s="58" t="s">
        <v>299</v>
      </c>
    </row>
    <row r="249" spans="1:9" ht="12" customHeight="1">
      <c r="A249" s="55"/>
      <c r="B249" s="57"/>
      <c r="C249" s="57" t="s">
        <v>49</v>
      </c>
      <c r="D249" s="57"/>
      <c r="E249" s="57"/>
      <c r="F249" s="57"/>
      <c r="G249" s="1" t="s">
        <v>300</v>
      </c>
      <c r="H249" s="3" t="s">
        <v>301</v>
      </c>
      <c r="I249" s="58"/>
    </row>
    <row r="250" spans="1:9" ht="12" customHeight="1">
      <c r="A250" s="55"/>
      <c r="B250" s="57"/>
      <c r="C250" s="57" t="s">
        <v>49</v>
      </c>
      <c r="D250" s="57"/>
      <c r="E250" s="57"/>
      <c r="F250" s="57"/>
      <c r="G250" s="1" t="s">
        <v>302</v>
      </c>
      <c r="H250" s="3" t="s">
        <v>303</v>
      </c>
      <c r="I250" s="58"/>
    </row>
    <row r="251" spans="1:9" ht="12" customHeight="1">
      <c r="A251" s="55"/>
      <c r="B251" s="57"/>
      <c r="C251" s="57" t="s">
        <v>49</v>
      </c>
      <c r="D251" s="57"/>
      <c r="E251" s="57"/>
      <c r="F251" s="57"/>
      <c r="G251" s="1" t="s">
        <v>304</v>
      </c>
      <c r="H251" s="3" t="s">
        <v>305</v>
      </c>
      <c r="I251" s="58"/>
    </row>
    <row r="252" spans="1:9" ht="12" customHeight="1">
      <c r="A252" s="55"/>
      <c r="B252" s="57"/>
      <c r="C252" s="57" t="s">
        <v>49</v>
      </c>
      <c r="D252" s="57"/>
      <c r="E252" s="57"/>
      <c r="F252" s="57"/>
      <c r="G252" s="1" t="s">
        <v>306</v>
      </c>
      <c r="H252" s="3" t="s">
        <v>307</v>
      </c>
      <c r="I252" s="58"/>
    </row>
    <row r="253" spans="1:9" ht="12" customHeight="1">
      <c r="A253" s="55"/>
      <c r="B253" s="57"/>
      <c r="C253" s="57" t="s">
        <v>49</v>
      </c>
      <c r="D253" s="57"/>
      <c r="E253" s="57"/>
      <c r="F253" s="57"/>
      <c r="G253" s="1" t="s">
        <v>308</v>
      </c>
      <c r="H253" s="3" t="s">
        <v>309</v>
      </c>
      <c r="I253" s="58"/>
    </row>
    <row r="254" spans="1:9" ht="12" customHeight="1">
      <c r="A254" s="55"/>
      <c r="B254" s="57"/>
      <c r="C254" s="57" t="s">
        <v>49</v>
      </c>
      <c r="D254" s="57"/>
      <c r="E254" s="57"/>
      <c r="F254" s="57"/>
      <c r="G254" s="1" t="s">
        <v>310</v>
      </c>
      <c r="H254" s="3" t="s">
        <v>311</v>
      </c>
      <c r="I254" s="58"/>
    </row>
    <row r="255" spans="1:9" ht="12" customHeight="1">
      <c r="A255" s="55"/>
      <c r="B255" s="57"/>
      <c r="C255" s="57" t="s">
        <v>49</v>
      </c>
      <c r="D255" s="57"/>
      <c r="E255" s="57"/>
      <c r="F255" s="57"/>
      <c r="G255" s="1" t="s">
        <v>312</v>
      </c>
      <c r="H255" s="3" t="s">
        <v>313</v>
      </c>
      <c r="I255" s="58"/>
    </row>
    <row r="256" spans="1:9" ht="12" customHeight="1">
      <c r="A256" s="55"/>
      <c r="B256" s="57"/>
      <c r="C256" s="57" t="s">
        <v>49</v>
      </c>
      <c r="D256" s="57"/>
      <c r="E256" s="57"/>
      <c r="F256" s="57"/>
      <c r="G256" s="1" t="s">
        <v>314</v>
      </c>
      <c r="H256" s="3" t="s">
        <v>315</v>
      </c>
      <c r="I256" s="58"/>
    </row>
    <row r="257" spans="1:9" ht="12" customHeight="1">
      <c r="A257" s="55"/>
      <c r="B257" s="57"/>
      <c r="C257" s="57" t="s">
        <v>49</v>
      </c>
      <c r="D257" s="57"/>
      <c r="E257" s="57"/>
      <c r="F257" s="57"/>
      <c r="G257" s="1" t="s">
        <v>316</v>
      </c>
      <c r="H257" s="3" t="s">
        <v>317</v>
      </c>
      <c r="I257" s="58"/>
    </row>
    <row r="258" spans="1:9" ht="12" customHeight="1">
      <c r="A258" s="55"/>
      <c r="B258" s="57"/>
      <c r="C258" s="57" t="s">
        <v>49</v>
      </c>
      <c r="D258" s="57"/>
      <c r="E258" s="57"/>
      <c r="F258" s="57"/>
      <c r="G258" s="1" t="s">
        <v>318</v>
      </c>
      <c r="H258" s="3" t="s">
        <v>319</v>
      </c>
      <c r="I258" s="58"/>
    </row>
    <row r="259" spans="1:9" ht="12" customHeight="1">
      <c r="A259" s="55"/>
      <c r="B259" s="57"/>
      <c r="C259" s="57" t="s">
        <v>49</v>
      </c>
      <c r="D259" s="57"/>
      <c r="E259" s="57"/>
      <c r="F259" s="57"/>
      <c r="G259" s="1" t="s">
        <v>320</v>
      </c>
      <c r="H259" s="3" t="s">
        <v>321</v>
      </c>
      <c r="I259" s="58"/>
    </row>
    <row r="260" spans="1:9" ht="12" customHeight="1">
      <c r="A260" s="55">
        <v>46288</v>
      </c>
      <c r="B260" s="56">
        <v>127188</v>
      </c>
      <c r="C260" s="57" t="s">
        <v>49</v>
      </c>
      <c r="D260" s="57">
        <v>1416667</v>
      </c>
      <c r="E260" s="57">
        <v>113333</v>
      </c>
      <c r="F260" s="57">
        <f t="shared" si="3"/>
        <v>1530000</v>
      </c>
      <c r="G260" s="1" t="s">
        <v>297</v>
      </c>
      <c r="H260" s="26" t="s">
        <v>298</v>
      </c>
      <c r="I260" s="58" t="s">
        <v>299</v>
      </c>
    </row>
    <row r="261" spans="1:9" ht="12" customHeight="1">
      <c r="A261" s="55"/>
      <c r="B261" s="56"/>
      <c r="C261" s="57" t="s">
        <v>49</v>
      </c>
      <c r="D261" s="57"/>
      <c r="E261" s="57"/>
      <c r="F261" s="57">
        <f t="shared" si="3"/>
        <v>0</v>
      </c>
      <c r="G261" s="1" t="s">
        <v>300</v>
      </c>
      <c r="H261" s="3" t="s">
        <v>301</v>
      </c>
      <c r="I261" s="58"/>
    </row>
    <row r="262" spans="1:9" ht="12" customHeight="1">
      <c r="A262" s="55"/>
      <c r="B262" s="56"/>
      <c r="C262" s="57" t="s">
        <v>49</v>
      </c>
      <c r="D262" s="57"/>
      <c r="E262" s="57"/>
      <c r="F262" s="57">
        <f t="shared" si="3"/>
        <v>0</v>
      </c>
      <c r="G262" s="1" t="s">
        <v>302</v>
      </c>
      <c r="H262" s="3" t="s">
        <v>303</v>
      </c>
      <c r="I262" s="58"/>
    </row>
    <row r="263" spans="1:9" ht="12" customHeight="1">
      <c r="A263" s="55"/>
      <c r="B263" s="56"/>
      <c r="C263" s="57" t="s">
        <v>49</v>
      </c>
      <c r="D263" s="57"/>
      <c r="E263" s="57"/>
      <c r="F263" s="57">
        <f t="shared" si="3"/>
        <v>0</v>
      </c>
      <c r="G263" s="1" t="s">
        <v>304</v>
      </c>
      <c r="H263" s="3" t="s">
        <v>305</v>
      </c>
      <c r="I263" s="58"/>
    </row>
    <row r="264" spans="1:9" ht="12" customHeight="1">
      <c r="A264" s="55"/>
      <c r="B264" s="56"/>
      <c r="C264" s="57" t="s">
        <v>49</v>
      </c>
      <c r="D264" s="57"/>
      <c r="E264" s="57"/>
      <c r="F264" s="57">
        <f t="shared" si="3"/>
        <v>0</v>
      </c>
      <c r="G264" s="1" t="s">
        <v>306</v>
      </c>
      <c r="H264" s="3" t="s">
        <v>307</v>
      </c>
      <c r="I264" s="58"/>
    </row>
    <row r="265" spans="1:9" ht="12" customHeight="1">
      <c r="A265" s="55"/>
      <c r="B265" s="56"/>
      <c r="C265" s="57" t="s">
        <v>49</v>
      </c>
      <c r="D265" s="57"/>
      <c r="E265" s="57"/>
      <c r="F265" s="57">
        <f t="shared" si="3"/>
        <v>0</v>
      </c>
      <c r="G265" s="1" t="s">
        <v>308</v>
      </c>
      <c r="H265" s="3" t="s">
        <v>309</v>
      </c>
      <c r="I265" s="58"/>
    </row>
    <row r="266" spans="1:9" ht="12" customHeight="1">
      <c r="A266" s="55"/>
      <c r="B266" s="56"/>
      <c r="C266" s="57" t="s">
        <v>49</v>
      </c>
      <c r="D266" s="57"/>
      <c r="E266" s="57"/>
      <c r="F266" s="57">
        <f t="shared" si="3"/>
        <v>0</v>
      </c>
      <c r="G266" s="1" t="s">
        <v>310</v>
      </c>
      <c r="H266" s="3" t="s">
        <v>311</v>
      </c>
      <c r="I266" s="58"/>
    </row>
    <row r="267" spans="1:9" ht="12" customHeight="1">
      <c r="A267" s="55"/>
      <c r="B267" s="56"/>
      <c r="C267" s="57" t="s">
        <v>49</v>
      </c>
      <c r="D267" s="57"/>
      <c r="E267" s="57"/>
      <c r="F267" s="57">
        <f t="shared" si="3"/>
        <v>0</v>
      </c>
      <c r="G267" s="1" t="s">
        <v>312</v>
      </c>
      <c r="H267" s="3" t="s">
        <v>313</v>
      </c>
      <c r="I267" s="58"/>
    </row>
    <row r="268" spans="1:9" ht="12" customHeight="1">
      <c r="A268" s="55"/>
      <c r="B268" s="56"/>
      <c r="C268" s="57" t="s">
        <v>49</v>
      </c>
      <c r="D268" s="57"/>
      <c r="E268" s="57"/>
      <c r="F268" s="57">
        <f t="shared" si="3"/>
        <v>0</v>
      </c>
      <c r="G268" s="1" t="s">
        <v>314</v>
      </c>
      <c r="H268" s="3" t="s">
        <v>315</v>
      </c>
      <c r="I268" s="58"/>
    </row>
    <row r="269" spans="1:9" ht="12" customHeight="1">
      <c r="A269" s="55"/>
      <c r="B269" s="56"/>
      <c r="C269" s="57" t="s">
        <v>49</v>
      </c>
      <c r="D269" s="57"/>
      <c r="E269" s="57"/>
      <c r="F269" s="57">
        <f t="shared" si="3"/>
        <v>0</v>
      </c>
      <c r="G269" s="1" t="s">
        <v>316</v>
      </c>
      <c r="H269" s="3" t="s">
        <v>317</v>
      </c>
      <c r="I269" s="58"/>
    </row>
    <row r="270" spans="1:9" ht="12" customHeight="1">
      <c r="A270" s="55"/>
      <c r="B270" s="56"/>
      <c r="C270" s="57" t="s">
        <v>49</v>
      </c>
      <c r="D270" s="57"/>
      <c r="E270" s="57"/>
      <c r="F270" s="57">
        <f t="shared" si="3"/>
        <v>0</v>
      </c>
      <c r="G270" s="1" t="s">
        <v>318</v>
      </c>
      <c r="H270" s="3" t="s">
        <v>319</v>
      </c>
      <c r="I270" s="58"/>
    </row>
    <row r="271" spans="1:9" ht="12" customHeight="1">
      <c r="A271" s="55"/>
      <c r="B271" s="56"/>
      <c r="C271" s="57" t="s">
        <v>49</v>
      </c>
      <c r="D271" s="57"/>
      <c r="E271" s="57"/>
      <c r="F271" s="57">
        <f t="shared" si="3"/>
        <v>0</v>
      </c>
      <c r="G271" s="1" t="s">
        <v>320</v>
      </c>
      <c r="H271" s="3" t="s">
        <v>321</v>
      </c>
      <c r="I271" s="58"/>
    </row>
    <row r="272" spans="1:9" ht="12" customHeight="1">
      <c r="A272" s="55">
        <v>46286</v>
      </c>
      <c r="B272" s="62">
        <v>9636</v>
      </c>
      <c r="C272" s="57" t="s">
        <v>49</v>
      </c>
      <c r="D272" s="57">
        <v>1650000</v>
      </c>
      <c r="E272" s="57">
        <v>132000</v>
      </c>
      <c r="F272" s="57">
        <f>+D272+E272</f>
        <v>1782000</v>
      </c>
      <c r="G272" s="1" t="s">
        <v>322</v>
      </c>
      <c r="H272" s="3" t="s">
        <v>323</v>
      </c>
      <c r="I272" s="58" t="s">
        <v>324</v>
      </c>
    </row>
    <row r="273" spans="1:9" ht="12" customHeight="1">
      <c r="A273" s="55"/>
      <c r="B273" s="62"/>
      <c r="C273" s="57" t="s">
        <v>49</v>
      </c>
      <c r="D273" s="57"/>
      <c r="E273" s="57"/>
      <c r="F273" s="57"/>
      <c r="G273" s="1" t="s">
        <v>325</v>
      </c>
      <c r="H273" s="3" t="s">
        <v>326</v>
      </c>
      <c r="I273" s="58"/>
    </row>
    <row r="274" spans="1:9" ht="12" customHeight="1">
      <c r="A274" s="55"/>
      <c r="B274" s="62"/>
      <c r="C274" s="57" t="s">
        <v>49</v>
      </c>
      <c r="D274" s="57"/>
      <c r="E274" s="57"/>
      <c r="F274" s="57"/>
      <c r="G274" s="1" t="s">
        <v>327</v>
      </c>
      <c r="H274" s="3" t="s">
        <v>328</v>
      </c>
      <c r="I274" s="58"/>
    </row>
    <row r="275" spans="1:9" ht="12" customHeight="1">
      <c r="A275" s="55"/>
      <c r="B275" s="62"/>
      <c r="C275" s="57" t="s">
        <v>49</v>
      </c>
      <c r="D275" s="57"/>
      <c r="E275" s="57"/>
      <c r="F275" s="57"/>
      <c r="G275" s="1" t="s">
        <v>329</v>
      </c>
      <c r="H275" s="3" t="s">
        <v>330</v>
      </c>
      <c r="I275" s="58"/>
    </row>
    <row r="276" spans="1:9" ht="12" customHeight="1">
      <c r="A276" s="55">
        <v>46288</v>
      </c>
      <c r="B276" s="62">
        <v>127272</v>
      </c>
      <c r="C276" s="57" t="s">
        <v>49</v>
      </c>
      <c r="D276" s="57">
        <v>1416667</v>
      </c>
      <c r="E276" s="57">
        <v>113333</v>
      </c>
      <c r="F276" s="57">
        <f t="shared" si="3"/>
        <v>1530000</v>
      </c>
      <c r="G276" s="1" t="s">
        <v>322</v>
      </c>
      <c r="H276" s="3" t="s">
        <v>323</v>
      </c>
      <c r="I276" s="58" t="s">
        <v>324</v>
      </c>
    </row>
    <row r="277" spans="1:9" ht="12" customHeight="1">
      <c r="A277" s="55"/>
      <c r="B277" s="62"/>
      <c r="C277" s="57" t="s">
        <v>49</v>
      </c>
      <c r="D277" s="57"/>
      <c r="E277" s="57"/>
      <c r="F277" s="57">
        <f t="shared" si="3"/>
        <v>0</v>
      </c>
      <c r="G277" s="1" t="s">
        <v>325</v>
      </c>
      <c r="H277" s="3" t="s">
        <v>326</v>
      </c>
      <c r="I277" s="58"/>
    </row>
    <row r="278" spans="1:9" ht="12" customHeight="1">
      <c r="A278" s="55"/>
      <c r="B278" s="62"/>
      <c r="C278" s="57" t="s">
        <v>49</v>
      </c>
      <c r="D278" s="57"/>
      <c r="E278" s="57"/>
      <c r="F278" s="57">
        <f t="shared" si="3"/>
        <v>0</v>
      </c>
      <c r="G278" s="1" t="s">
        <v>327</v>
      </c>
      <c r="H278" s="3" t="s">
        <v>328</v>
      </c>
      <c r="I278" s="58"/>
    </row>
    <row r="279" spans="1:9" ht="12" customHeight="1">
      <c r="A279" s="55"/>
      <c r="B279" s="62"/>
      <c r="C279" s="57" t="s">
        <v>49</v>
      </c>
      <c r="D279" s="57"/>
      <c r="E279" s="57"/>
      <c r="F279" s="57">
        <f t="shared" si="3"/>
        <v>0</v>
      </c>
      <c r="G279" s="1" t="s">
        <v>329</v>
      </c>
      <c r="H279" s="3" t="s">
        <v>330</v>
      </c>
      <c r="I279" s="58"/>
    </row>
    <row r="280" spans="1:9" ht="12" customHeight="1">
      <c r="A280" s="55">
        <v>46287</v>
      </c>
      <c r="B280" s="56">
        <v>43592</v>
      </c>
      <c r="C280" s="57" t="s">
        <v>49</v>
      </c>
      <c r="D280" s="57">
        <v>1009259</v>
      </c>
      <c r="E280" s="57">
        <v>80741</v>
      </c>
      <c r="F280" s="57">
        <f>+D280+E280</f>
        <v>1090000</v>
      </c>
      <c r="G280" s="1" t="s">
        <v>331</v>
      </c>
      <c r="H280" s="3" t="s">
        <v>332</v>
      </c>
      <c r="I280" s="58" t="s">
        <v>333</v>
      </c>
    </row>
    <row r="281" spans="1:9" ht="12" customHeight="1">
      <c r="A281" s="55"/>
      <c r="B281" s="56"/>
      <c r="C281" s="57" t="s">
        <v>49</v>
      </c>
      <c r="D281" s="57"/>
      <c r="E281" s="57"/>
      <c r="F281" s="57"/>
      <c r="G281" s="1" t="s">
        <v>334</v>
      </c>
      <c r="H281" s="3" t="s">
        <v>335</v>
      </c>
      <c r="I281" s="58"/>
    </row>
    <row r="282" spans="1:9" ht="12" customHeight="1">
      <c r="A282" s="55"/>
      <c r="B282" s="56"/>
      <c r="C282" s="57" t="s">
        <v>49</v>
      </c>
      <c r="D282" s="57"/>
      <c r="E282" s="57"/>
      <c r="F282" s="57"/>
      <c r="G282" s="1" t="s">
        <v>336</v>
      </c>
      <c r="H282" s="3" t="s">
        <v>337</v>
      </c>
      <c r="I282" s="58"/>
    </row>
    <row r="283" spans="1:9" ht="12" customHeight="1">
      <c r="A283" s="55">
        <v>46289</v>
      </c>
      <c r="B283" s="56" t="s">
        <v>338</v>
      </c>
      <c r="C283" s="57" t="s">
        <v>49</v>
      </c>
      <c r="D283" s="57">
        <v>865741</v>
      </c>
      <c r="E283" s="57">
        <v>69259</v>
      </c>
      <c r="F283" s="57">
        <f t="shared" si="3"/>
        <v>935000</v>
      </c>
      <c r="G283" s="1" t="s">
        <v>331</v>
      </c>
      <c r="H283" s="3" t="s">
        <v>332</v>
      </c>
      <c r="I283" s="58" t="s">
        <v>333</v>
      </c>
    </row>
    <row r="284" spans="1:9" ht="12" customHeight="1">
      <c r="A284" s="55"/>
      <c r="B284" s="56"/>
      <c r="C284" s="57" t="s">
        <v>49</v>
      </c>
      <c r="D284" s="57"/>
      <c r="E284" s="57"/>
      <c r="F284" s="57">
        <f t="shared" si="3"/>
        <v>0</v>
      </c>
      <c r="G284" s="1" t="s">
        <v>334</v>
      </c>
      <c r="H284" s="3" t="s">
        <v>335</v>
      </c>
      <c r="I284" s="58"/>
    </row>
    <row r="285" spans="1:9" ht="12" customHeight="1">
      <c r="A285" s="55"/>
      <c r="B285" s="56"/>
      <c r="C285" s="57" t="s">
        <v>49</v>
      </c>
      <c r="D285" s="57"/>
      <c r="E285" s="57"/>
      <c r="F285" s="57">
        <f t="shared" si="3"/>
        <v>0</v>
      </c>
      <c r="G285" s="1" t="s">
        <v>336</v>
      </c>
      <c r="H285" s="3" t="s">
        <v>337</v>
      </c>
      <c r="I285" s="58"/>
    </row>
    <row r="286" spans="1:9" ht="12" customHeight="1">
      <c r="A286" s="55">
        <v>46287</v>
      </c>
      <c r="B286" s="56">
        <v>43620</v>
      </c>
      <c r="C286" s="57" t="s">
        <v>49</v>
      </c>
      <c r="D286" s="57">
        <v>1009259</v>
      </c>
      <c r="E286" s="57">
        <v>80741</v>
      </c>
      <c r="F286" s="57">
        <f>+D286+E286</f>
        <v>1090000</v>
      </c>
      <c r="G286" s="1" t="s">
        <v>339</v>
      </c>
      <c r="H286" s="3" t="s">
        <v>340</v>
      </c>
      <c r="I286" s="58" t="s">
        <v>341</v>
      </c>
    </row>
    <row r="287" spans="1:9" ht="12" customHeight="1">
      <c r="A287" s="55"/>
      <c r="B287" s="56"/>
      <c r="C287" s="57" t="s">
        <v>49</v>
      </c>
      <c r="D287" s="57"/>
      <c r="E287" s="57"/>
      <c r="F287" s="57">
        <f>+D287+E287</f>
        <v>0</v>
      </c>
      <c r="G287" s="1" t="s">
        <v>342</v>
      </c>
      <c r="H287" s="3" t="s">
        <v>343</v>
      </c>
      <c r="I287" s="58"/>
    </row>
    <row r="288" spans="1:9" ht="12" customHeight="1">
      <c r="A288" s="55"/>
      <c r="B288" s="56"/>
      <c r="C288" s="57" t="s">
        <v>49</v>
      </c>
      <c r="D288" s="57"/>
      <c r="E288" s="57"/>
      <c r="F288" s="57">
        <f>+D288+E288</f>
        <v>0</v>
      </c>
      <c r="G288" s="1" t="s">
        <v>344</v>
      </c>
      <c r="H288" s="3" t="s">
        <v>345</v>
      </c>
      <c r="I288" s="58"/>
    </row>
    <row r="289" spans="1:9" ht="12" customHeight="1">
      <c r="A289" s="55">
        <v>46289</v>
      </c>
      <c r="B289" s="56" t="s">
        <v>346</v>
      </c>
      <c r="C289" s="57" t="s">
        <v>49</v>
      </c>
      <c r="D289" s="57">
        <v>865741</v>
      </c>
      <c r="E289" s="57">
        <v>69259</v>
      </c>
      <c r="F289" s="57">
        <f t="shared" si="3"/>
        <v>935000</v>
      </c>
      <c r="G289" s="1" t="s">
        <v>339</v>
      </c>
      <c r="H289" s="3" t="s">
        <v>340</v>
      </c>
      <c r="I289" s="58" t="s">
        <v>341</v>
      </c>
    </row>
    <row r="290" spans="1:9" ht="12" customHeight="1">
      <c r="A290" s="55"/>
      <c r="B290" s="56"/>
      <c r="C290" s="57" t="s">
        <v>49</v>
      </c>
      <c r="D290" s="57"/>
      <c r="E290" s="57"/>
      <c r="F290" s="57">
        <f t="shared" si="3"/>
        <v>0</v>
      </c>
      <c r="G290" s="1" t="s">
        <v>342</v>
      </c>
      <c r="H290" s="3" t="s">
        <v>343</v>
      </c>
      <c r="I290" s="58"/>
    </row>
    <row r="291" spans="1:9" ht="12" customHeight="1">
      <c r="A291" s="55"/>
      <c r="B291" s="56"/>
      <c r="C291" s="57" t="s">
        <v>49</v>
      </c>
      <c r="D291" s="57"/>
      <c r="E291" s="57"/>
      <c r="F291" s="57">
        <f t="shared" si="3"/>
        <v>0</v>
      </c>
      <c r="G291" s="1" t="s">
        <v>344</v>
      </c>
      <c r="H291" s="3" t="s">
        <v>345</v>
      </c>
      <c r="I291" s="58"/>
    </row>
    <row r="292" spans="1:9" ht="12" customHeight="1">
      <c r="A292" s="55">
        <v>46286</v>
      </c>
      <c r="B292" s="56" t="s">
        <v>347</v>
      </c>
      <c r="C292" s="57" t="s">
        <v>49</v>
      </c>
      <c r="D292" s="57">
        <v>1824074</v>
      </c>
      <c r="E292" s="57">
        <v>145926</v>
      </c>
      <c r="F292" s="57">
        <f>+D292+E292</f>
        <v>1970000</v>
      </c>
      <c r="G292" s="1" t="s">
        <v>348</v>
      </c>
      <c r="H292" s="3" t="s">
        <v>349</v>
      </c>
      <c r="I292" s="58" t="s">
        <v>350</v>
      </c>
    </row>
    <row r="293" spans="1:9" ht="12" customHeight="1">
      <c r="A293" s="55"/>
      <c r="B293" s="56"/>
      <c r="C293" s="57" t="s">
        <v>49</v>
      </c>
      <c r="D293" s="57"/>
      <c r="E293" s="57"/>
      <c r="F293" s="57"/>
      <c r="G293" s="1" t="s">
        <v>351</v>
      </c>
      <c r="H293" s="3" t="s">
        <v>352</v>
      </c>
      <c r="I293" s="58"/>
    </row>
    <row r="294" spans="1:9" ht="12" customHeight="1">
      <c r="A294" s="55">
        <v>46289</v>
      </c>
      <c r="B294" s="56">
        <v>127804</v>
      </c>
      <c r="C294" s="57" t="s">
        <v>49</v>
      </c>
      <c r="D294" s="57">
        <v>2833333</v>
      </c>
      <c r="E294" s="57">
        <v>226667</v>
      </c>
      <c r="F294" s="57">
        <f t="shared" si="3"/>
        <v>3060000</v>
      </c>
      <c r="G294" s="1" t="s">
        <v>348</v>
      </c>
      <c r="H294" s="3" t="s">
        <v>349</v>
      </c>
      <c r="I294" s="61" t="s">
        <v>353</v>
      </c>
    </row>
    <row r="295" spans="1:9" ht="12" customHeight="1">
      <c r="A295" s="55"/>
      <c r="B295" s="56"/>
      <c r="C295" s="57"/>
      <c r="D295" s="57"/>
      <c r="E295" s="57"/>
      <c r="F295" s="57"/>
      <c r="G295" s="1" t="s">
        <v>351</v>
      </c>
      <c r="H295" s="3" t="s">
        <v>352</v>
      </c>
      <c r="I295" s="58"/>
    </row>
    <row r="296" spans="1:9" ht="12" customHeight="1">
      <c r="A296" s="55"/>
      <c r="B296" s="56"/>
      <c r="C296" s="57" t="s">
        <v>49</v>
      </c>
      <c r="D296" s="57"/>
      <c r="E296" s="57"/>
      <c r="F296" s="57">
        <f t="shared" si="3"/>
        <v>0</v>
      </c>
      <c r="G296" s="1" t="s">
        <v>354</v>
      </c>
      <c r="H296" s="3" t="s">
        <v>355</v>
      </c>
      <c r="I296" s="58"/>
    </row>
    <row r="297" spans="1:9" ht="12" customHeight="1">
      <c r="A297" s="27">
        <v>46255</v>
      </c>
      <c r="B297" s="32" t="s">
        <v>356</v>
      </c>
      <c r="C297" s="29" t="s">
        <v>49</v>
      </c>
      <c r="D297" s="30">
        <v>1824074</v>
      </c>
      <c r="E297" s="30">
        <v>145926</v>
      </c>
      <c r="F297" s="30">
        <f>+D297+E297</f>
        <v>1970000</v>
      </c>
      <c r="G297" s="1" t="s">
        <v>354</v>
      </c>
      <c r="H297" s="3" t="s">
        <v>355</v>
      </c>
      <c r="I297" s="6" t="s">
        <v>357</v>
      </c>
    </row>
    <row r="298" spans="1:9" ht="12" customHeight="1">
      <c r="A298" s="55">
        <v>46286</v>
      </c>
      <c r="B298" s="56" t="s">
        <v>358</v>
      </c>
      <c r="C298" s="57" t="s">
        <v>49</v>
      </c>
      <c r="D298" s="57">
        <v>1538889</v>
      </c>
      <c r="E298" s="57">
        <v>123111</v>
      </c>
      <c r="F298" s="57">
        <f>+D298+E298</f>
        <v>1662000</v>
      </c>
      <c r="G298" s="1" t="s">
        <v>359</v>
      </c>
      <c r="H298" s="3" t="s">
        <v>360</v>
      </c>
      <c r="I298" s="58" t="s">
        <v>361</v>
      </c>
    </row>
    <row r="299" spans="1:9" ht="12" customHeight="1">
      <c r="A299" s="55"/>
      <c r="B299" s="56"/>
      <c r="C299" s="57" t="s">
        <v>49</v>
      </c>
      <c r="D299" s="57"/>
      <c r="E299" s="57"/>
      <c r="F299" s="57">
        <f>+D299+E299</f>
        <v>0</v>
      </c>
      <c r="G299" s="1" t="s">
        <v>362</v>
      </c>
      <c r="H299" s="3" t="s">
        <v>363</v>
      </c>
      <c r="I299" s="58"/>
    </row>
    <row r="300" spans="1:9" ht="12" customHeight="1">
      <c r="A300" s="55">
        <v>46290</v>
      </c>
      <c r="B300" s="56" t="s">
        <v>364</v>
      </c>
      <c r="C300" s="57" t="s">
        <v>49</v>
      </c>
      <c r="D300" s="57">
        <v>1405556</v>
      </c>
      <c r="E300" s="57">
        <v>112444</v>
      </c>
      <c r="F300" s="57">
        <f t="shared" si="3"/>
        <v>1518000</v>
      </c>
      <c r="G300" s="1" t="s">
        <v>359</v>
      </c>
      <c r="H300" s="3" t="s">
        <v>360</v>
      </c>
      <c r="I300" s="58" t="s">
        <v>361</v>
      </c>
    </row>
    <row r="301" spans="1:9" ht="12" customHeight="1">
      <c r="A301" s="55"/>
      <c r="B301" s="56"/>
      <c r="C301" s="57" t="s">
        <v>49</v>
      </c>
      <c r="D301" s="57"/>
      <c r="E301" s="57"/>
      <c r="F301" s="57">
        <f t="shared" si="3"/>
        <v>0</v>
      </c>
      <c r="G301" s="1" t="s">
        <v>362</v>
      </c>
      <c r="H301" s="3" t="s">
        <v>363</v>
      </c>
      <c r="I301" s="58"/>
    </row>
    <row r="302" spans="1:9" ht="12" customHeight="1">
      <c r="A302" s="55">
        <v>46286</v>
      </c>
      <c r="B302" s="56" t="s">
        <v>365</v>
      </c>
      <c r="C302" s="57" t="s">
        <v>49</v>
      </c>
      <c r="D302" s="57">
        <v>1824074</v>
      </c>
      <c r="E302" s="57">
        <v>145926</v>
      </c>
      <c r="F302" s="57">
        <f>+D302+E302</f>
        <v>1970000</v>
      </c>
      <c r="G302" s="1" t="s">
        <v>366</v>
      </c>
      <c r="H302" s="3" t="s">
        <v>367</v>
      </c>
      <c r="I302" s="58" t="s">
        <v>368</v>
      </c>
    </row>
    <row r="303" spans="1:9" ht="12" customHeight="1">
      <c r="A303" s="55"/>
      <c r="B303" s="56"/>
      <c r="C303" s="57" t="s">
        <v>49</v>
      </c>
      <c r="D303" s="57"/>
      <c r="E303" s="57"/>
      <c r="F303" s="57"/>
      <c r="G303" s="1" t="s">
        <v>369</v>
      </c>
      <c r="H303" s="3" t="s">
        <v>370</v>
      </c>
      <c r="I303" s="58"/>
    </row>
    <row r="304" spans="1:9" ht="12" customHeight="1">
      <c r="A304" s="55"/>
      <c r="B304" s="56"/>
      <c r="C304" s="57" t="s">
        <v>49</v>
      </c>
      <c r="D304" s="57"/>
      <c r="E304" s="57"/>
      <c r="F304" s="57"/>
      <c r="G304" s="1" t="s">
        <v>371</v>
      </c>
      <c r="H304" s="3" t="s">
        <v>372</v>
      </c>
      <c r="I304" s="58"/>
    </row>
    <row r="305" spans="1:9" ht="12" customHeight="1">
      <c r="A305" s="55"/>
      <c r="B305" s="56"/>
      <c r="C305" s="57" t="s">
        <v>49</v>
      </c>
      <c r="D305" s="57"/>
      <c r="E305" s="57"/>
      <c r="F305" s="57"/>
      <c r="G305" s="1" t="s">
        <v>373</v>
      </c>
      <c r="H305" s="3" t="s">
        <v>374</v>
      </c>
      <c r="I305" s="58"/>
    </row>
    <row r="306" spans="1:9" ht="12" customHeight="1">
      <c r="A306" s="55">
        <v>46289</v>
      </c>
      <c r="B306" s="56" t="s">
        <v>375</v>
      </c>
      <c r="C306" s="57" t="s">
        <v>49</v>
      </c>
      <c r="D306" s="57">
        <v>1500000</v>
      </c>
      <c r="E306" s="57">
        <v>120000</v>
      </c>
      <c r="F306" s="57">
        <f t="shared" si="3"/>
        <v>1620000</v>
      </c>
      <c r="G306" s="1" t="s">
        <v>366</v>
      </c>
      <c r="H306" s="3" t="s">
        <v>367</v>
      </c>
      <c r="I306" s="58" t="s">
        <v>368</v>
      </c>
    </row>
    <row r="307" spans="1:9" ht="12" customHeight="1">
      <c r="A307" s="55"/>
      <c r="B307" s="56"/>
      <c r="C307" s="57" t="s">
        <v>49</v>
      </c>
      <c r="D307" s="57"/>
      <c r="E307" s="57"/>
      <c r="F307" s="57">
        <f t="shared" si="3"/>
        <v>0</v>
      </c>
      <c r="G307" s="1" t="s">
        <v>369</v>
      </c>
      <c r="H307" s="3" t="s">
        <v>370</v>
      </c>
      <c r="I307" s="58"/>
    </row>
    <row r="308" spans="1:9" ht="12" customHeight="1">
      <c r="A308" s="55"/>
      <c r="B308" s="56"/>
      <c r="C308" s="57" t="s">
        <v>49</v>
      </c>
      <c r="D308" s="57"/>
      <c r="E308" s="57"/>
      <c r="F308" s="57">
        <f t="shared" ref="F308:F341" si="4">+D308+E308</f>
        <v>0</v>
      </c>
      <c r="G308" s="1" t="s">
        <v>371</v>
      </c>
      <c r="H308" s="3" t="s">
        <v>372</v>
      </c>
      <c r="I308" s="58"/>
    </row>
    <row r="309" spans="1:9" ht="12" customHeight="1">
      <c r="A309" s="55"/>
      <c r="B309" s="56"/>
      <c r="C309" s="57" t="s">
        <v>49</v>
      </c>
      <c r="D309" s="57"/>
      <c r="E309" s="57"/>
      <c r="F309" s="57">
        <f t="shared" si="4"/>
        <v>0</v>
      </c>
      <c r="G309" s="1" t="s">
        <v>373</v>
      </c>
      <c r="H309" s="3" t="s">
        <v>374</v>
      </c>
      <c r="I309" s="58"/>
    </row>
    <row r="310" spans="1:9" ht="12" customHeight="1">
      <c r="A310" s="55">
        <v>46286</v>
      </c>
      <c r="B310" s="56">
        <v>43254</v>
      </c>
      <c r="C310" s="57" t="s">
        <v>49</v>
      </c>
      <c r="D310" s="57">
        <v>1824074</v>
      </c>
      <c r="E310" s="57">
        <v>145926</v>
      </c>
      <c r="F310" s="57">
        <f>+D310+E310</f>
        <v>1970000</v>
      </c>
      <c r="G310" s="1" t="s">
        <v>376</v>
      </c>
      <c r="H310" s="3" t="s">
        <v>377</v>
      </c>
      <c r="I310" s="58" t="s">
        <v>378</v>
      </c>
    </row>
    <row r="311" spans="1:9" ht="12" customHeight="1">
      <c r="A311" s="55"/>
      <c r="B311" s="56"/>
      <c r="C311" s="57" t="s">
        <v>49</v>
      </c>
      <c r="D311" s="57"/>
      <c r="E311" s="57"/>
      <c r="F311" s="57">
        <f>+D311+E311</f>
        <v>0</v>
      </c>
      <c r="G311" s="1" t="s">
        <v>379</v>
      </c>
      <c r="H311" s="3" t="s">
        <v>380</v>
      </c>
      <c r="I311" s="58"/>
    </row>
    <row r="312" spans="1:9" ht="12" customHeight="1">
      <c r="A312" s="55">
        <v>46289</v>
      </c>
      <c r="B312" s="56">
        <v>127815</v>
      </c>
      <c r="C312" s="57" t="s">
        <v>49</v>
      </c>
      <c r="D312" s="57">
        <v>1634259</v>
      </c>
      <c r="E312" s="57">
        <v>130741</v>
      </c>
      <c r="F312" s="57">
        <f t="shared" si="4"/>
        <v>1765000</v>
      </c>
      <c r="G312" s="1" t="s">
        <v>376</v>
      </c>
      <c r="H312" s="3" t="s">
        <v>377</v>
      </c>
      <c r="I312" s="58" t="s">
        <v>378</v>
      </c>
    </row>
    <row r="313" spans="1:9" ht="12" customHeight="1">
      <c r="A313" s="55"/>
      <c r="B313" s="56"/>
      <c r="C313" s="57" t="s">
        <v>49</v>
      </c>
      <c r="D313" s="57"/>
      <c r="E313" s="57"/>
      <c r="F313" s="57">
        <f t="shared" si="4"/>
        <v>0</v>
      </c>
      <c r="G313" s="1" t="s">
        <v>379</v>
      </c>
      <c r="H313" s="3" t="s">
        <v>380</v>
      </c>
      <c r="I313" s="58"/>
    </row>
    <row r="314" spans="1:9" ht="12" customHeight="1">
      <c r="A314" s="55">
        <v>46286</v>
      </c>
      <c r="B314" s="56">
        <v>43262</v>
      </c>
      <c r="C314" s="57" t="s">
        <v>49</v>
      </c>
      <c r="D314" s="57">
        <v>1824074</v>
      </c>
      <c r="E314" s="57">
        <v>145926</v>
      </c>
      <c r="F314" s="57">
        <f>+D314+E314</f>
        <v>1970000</v>
      </c>
      <c r="G314" s="1" t="s">
        <v>381</v>
      </c>
      <c r="H314" s="3" t="s">
        <v>382</v>
      </c>
      <c r="I314" s="58" t="s">
        <v>383</v>
      </c>
    </row>
    <row r="315" spans="1:9" ht="12" customHeight="1">
      <c r="A315" s="55"/>
      <c r="B315" s="56"/>
      <c r="C315" s="57" t="s">
        <v>49</v>
      </c>
      <c r="D315" s="57"/>
      <c r="E315" s="57"/>
      <c r="F315" s="57">
        <f>+D315+E315</f>
        <v>0</v>
      </c>
      <c r="G315" s="1" t="s">
        <v>384</v>
      </c>
      <c r="H315" s="3" t="s">
        <v>385</v>
      </c>
      <c r="I315" s="58"/>
    </row>
    <row r="316" spans="1:9" ht="12" customHeight="1">
      <c r="A316" s="55">
        <v>46289</v>
      </c>
      <c r="B316" s="56">
        <v>127818</v>
      </c>
      <c r="C316" s="57" t="s">
        <v>49</v>
      </c>
      <c r="D316" s="57">
        <v>1634259</v>
      </c>
      <c r="E316" s="57">
        <v>130741</v>
      </c>
      <c r="F316" s="57">
        <f t="shared" si="4"/>
        <v>1765000</v>
      </c>
      <c r="G316" s="1" t="s">
        <v>381</v>
      </c>
      <c r="H316" s="3" t="s">
        <v>382</v>
      </c>
      <c r="I316" s="58" t="s">
        <v>383</v>
      </c>
    </row>
    <row r="317" spans="1:9" ht="12" customHeight="1">
      <c r="A317" s="55"/>
      <c r="B317" s="56"/>
      <c r="C317" s="57" t="s">
        <v>49</v>
      </c>
      <c r="D317" s="57"/>
      <c r="E317" s="57"/>
      <c r="F317" s="57">
        <f t="shared" si="4"/>
        <v>0</v>
      </c>
      <c r="G317" s="1" t="s">
        <v>384</v>
      </c>
      <c r="H317" s="3" t="s">
        <v>385</v>
      </c>
      <c r="I317" s="58"/>
    </row>
    <row r="318" spans="1:9" ht="12" customHeight="1">
      <c r="A318" s="27">
        <v>46287</v>
      </c>
      <c r="B318" s="28" t="s">
        <v>386</v>
      </c>
      <c r="C318" s="29" t="s">
        <v>49</v>
      </c>
      <c r="D318" s="30">
        <v>1824074</v>
      </c>
      <c r="E318" s="30">
        <v>145926</v>
      </c>
      <c r="F318" s="30">
        <f>+D318+E318</f>
        <v>1970000</v>
      </c>
      <c r="G318" s="1" t="s">
        <v>387</v>
      </c>
      <c r="H318" s="3" t="s">
        <v>388</v>
      </c>
      <c r="I318" s="6" t="s">
        <v>389</v>
      </c>
    </row>
    <row r="319" spans="1:9" ht="12" customHeight="1">
      <c r="A319" s="27">
        <v>46289</v>
      </c>
      <c r="B319" s="28">
        <v>1301156</v>
      </c>
      <c r="C319" s="29" t="s">
        <v>49</v>
      </c>
      <c r="D319" s="30">
        <v>985185</v>
      </c>
      <c r="E319" s="30">
        <v>78815</v>
      </c>
      <c r="F319" s="30">
        <f t="shared" si="4"/>
        <v>1064000</v>
      </c>
      <c r="G319" s="1" t="s">
        <v>387</v>
      </c>
      <c r="H319" s="3" t="s">
        <v>388</v>
      </c>
      <c r="I319" s="6" t="s">
        <v>389</v>
      </c>
    </row>
    <row r="320" spans="1:9" ht="12" customHeight="1">
      <c r="A320" s="27">
        <v>46287</v>
      </c>
      <c r="B320" s="28" t="s">
        <v>390</v>
      </c>
      <c r="C320" s="29" t="s">
        <v>49</v>
      </c>
      <c r="D320" s="30">
        <v>1824074</v>
      </c>
      <c r="E320" s="30">
        <v>145926</v>
      </c>
      <c r="F320" s="30">
        <f>+D320+E320</f>
        <v>1970000</v>
      </c>
      <c r="G320" s="4" t="s">
        <v>391</v>
      </c>
      <c r="H320" s="3" t="s">
        <v>392</v>
      </c>
      <c r="I320" s="5" t="s">
        <v>393</v>
      </c>
    </row>
    <row r="321" spans="1:9" ht="12" customHeight="1">
      <c r="A321" s="55">
        <v>46290</v>
      </c>
      <c r="B321" s="56">
        <v>128513</v>
      </c>
      <c r="C321" s="60" t="s">
        <v>49</v>
      </c>
      <c r="D321" s="57">
        <v>2833333</v>
      </c>
      <c r="E321" s="57">
        <v>226667</v>
      </c>
      <c r="F321" s="57">
        <f t="shared" si="4"/>
        <v>3060000</v>
      </c>
      <c r="G321" s="4" t="s">
        <v>391</v>
      </c>
      <c r="H321" s="3" t="s">
        <v>392</v>
      </c>
      <c r="I321" s="59" t="s">
        <v>394</v>
      </c>
    </row>
    <row r="322" spans="1:9" ht="12" customHeight="1">
      <c r="A322" s="55"/>
      <c r="B322" s="56"/>
      <c r="C322" s="60"/>
      <c r="D322" s="57"/>
      <c r="E322" s="57"/>
      <c r="F322" s="57">
        <f t="shared" si="4"/>
        <v>0</v>
      </c>
      <c r="G322" s="4" t="s">
        <v>395</v>
      </c>
      <c r="H322" s="3" t="s">
        <v>396</v>
      </c>
      <c r="I322" s="59"/>
    </row>
    <row r="323" spans="1:9" ht="12" customHeight="1">
      <c r="A323" s="27">
        <v>46287</v>
      </c>
      <c r="B323" s="32" t="s">
        <v>397</v>
      </c>
      <c r="C323" s="29" t="s">
        <v>49</v>
      </c>
      <c r="D323" s="30">
        <v>1824074</v>
      </c>
      <c r="E323" s="30">
        <v>145926</v>
      </c>
      <c r="F323" s="30">
        <f>+D323+E323</f>
        <v>1970000</v>
      </c>
      <c r="G323" s="4" t="s">
        <v>395</v>
      </c>
      <c r="H323" s="3" t="s">
        <v>396</v>
      </c>
      <c r="I323" s="5" t="s">
        <v>398</v>
      </c>
    </row>
    <row r="324" spans="1:9" ht="12" customHeight="1">
      <c r="A324" s="55">
        <v>46288</v>
      </c>
      <c r="B324" s="56">
        <v>10700</v>
      </c>
      <c r="C324" s="57" t="s">
        <v>49</v>
      </c>
      <c r="D324" s="57">
        <v>1481481</v>
      </c>
      <c r="E324" s="57">
        <v>118518</v>
      </c>
      <c r="F324" s="57">
        <f>+D324+E324</f>
        <v>1599999</v>
      </c>
      <c r="G324" s="4" t="s">
        <v>399</v>
      </c>
      <c r="H324" s="3" t="s">
        <v>400</v>
      </c>
      <c r="I324" s="54" t="s">
        <v>401</v>
      </c>
    </row>
    <row r="325" spans="1:9" ht="12" customHeight="1">
      <c r="A325" s="55"/>
      <c r="B325" s="56"/>
      <c r="C325" s="57" t="s">
        <v>49</v>
      </c>
      <c r="D325" s="57"/>
      <c r="E325" s="57"/>
      <c r="F325" s="57"/>
      <c r="G325" s="4" t="s">
        <v>402</v>
      </c>
      <c r="H325" s="3" t="s">
        <v>403</v>
      </c>
      <c r="I325" s="54"/>
    </row>
    <row r="326" spans="1:9" ht="12" customHeight="1">
      <c r="A326" s="55"/>
      <c r="B326" s="56"/>
      <c r="C326" s="57" t="s">
        <v>49</v>
      </c>
      <c r="D326" s="57"/>
      <c r="E326" s="57"/>
      <c r="F326" s="57"/>
      <c r="G326" s="4" t="s">
        <v>404</v>
      </c>
      <c r="H326" s="3" t="s">
        <v>405</v>
      </c>
      <c r="I326" s="54"/>
    </row>
    <row r="327" spans="1:9" ht="12" customHeight="1">
      <c r="A327" s="55"/>
      <c r="B327" s="56"/>
      <c r="C327" s="57" t="s">
        <v>49</v>
      </c>
      <c r="D327" s="57"/>
      <c r="E327" s="57"/>
      <c r="F327" s="57"/>
      <c r="G327" s="4" t="s">
        <v>406</v>
      </c>
      <c r="H327" s="33" t="s">
        <v>407</v>
      </c>
      <c r="I327" s="54"/>
    </row>
    <row r="328" spans="1:9" ht="12" customHeight="1">
      <c r="A328" s="55"/>
      <c r="B328" s="56"/>
      <c r="C328" s="57" t="s">
        <v>49</v>
      </c>
      <c r="D328" s="57"/>
      <c r="E328" s="57"/>
      <c r="F328" s="57"/>
      <c r="G328" s="4" t="s">
        <v>408</v>
      </c>
      <c r="H328" s="33" t="s">
        <v>409</v>
      </c>
      <c r="I328" s="54"/>
    </row>
    <row r="329" spans="1:9" ht="12" customHeight="1">
      <c r="A329" s="55"/>
      <c r="B329" s="56"/>
      <c r="C329" s="57" t="s">
        <v>49</v>
      </c>
      <c r="D329" s="57"/>
      <c r="E329" s="57"/>
      <c r="F329" s="57"/>
      <c r="G329" s="4" t="s">
        <v>410</v>
      </c>
      <c r="H329" s="33" t="s">
        <v>411</v>
      </c>
      <c r="I329" s="54"/>
    </row>
    <row r="330" spans="1:9" ht="12" customHeight="1">
      <c r="A330" s="55">
        <v>46290</v>
      </c>
      <c r="B330" s="56" t="s">
        <v>412</v>
      </c>
      <c r="C330" s="57" t="s">
        <v>49</v>
      </c>
      <c r="D330" s="57">
        <v>1500000</v>
      </c>
      <c r="E330" s="57">
        <v>120000</v>
      </c>
      <c r="F330" s="57">
        <f t="shared" si="4"/>
        <v>1620000</v>
      </c>
      <c r="G330" s="4" t="s">
        <v>399</v>
      </c>
      <c r="H330" s="3" t="s">
        <v>400</v>
      </c>
      <c r="I330" s="54" t="s">
        <v>401</v>
      </c>
    </row>
    <row r="331" spans="1:9" ht="12" customHeight="1">
      <c r="A331" s="55"/>
      <c r="B331" s="56"/>
      <c r="C331" s="57" t="s">
        <v>49</v>
      </c>
      <c r="D331" s="57"/>
      <c r="E331" s="57"/>
      <c r="F331" s="57">
        <f t="shared" si="4"/>
        <v>0</v>
      </c>
      <c r="G331" s="4" t="s">
        <v>402</v>
      </c>
      <c r="H331" s="3" t="s">
        <v>403</v>
      </c>
      <c r="I331" s="54"/>
    </row>
    <row r="332" spans="1:9" ht="12" customHeight="1">
      <c r="A332" s="55"/>
      <c r="B332" s="56"/>
      <c r="C332" s="57" t="s">
        <v>49</v>
      </c>
      <c r="D332" s="57"/>
      <c r="E332" s="57"/>
      <c r="F332" s="57">
        <f t="shared" si="4"/>
        <v>0</v>
      </c>
      <c r="G332" s="4" t="s">
        <v>404</v>
      </c>
      <c r="H332" s="3" t="s">
        <v>405</v>
      </c>
      <c r="I332" s="54"/>
    </row>
    <row r="333" spans="1:9" ht="12" customHeight="1">
      <c r="A333" s="55"/>
      <c r="B333" s="56"/>
      <c r="C333" s="57" t="s">
        <v>49</v>
      </c>
      <c r="D333" s="57"/>
      <c r="E333" s="57"/>
      <c r="F333" s="57">
        <f t="shared" si="4"/>
        <v>0</v>
      </c>
      <c r="G333" s="4" t="s">
        <v>406</v>
      </c>
      <c r="H333" s="33" t="s">
        <v>407</v>
      </c>
      <c r="I333" s="54"/>
    </row>
    <row r="334" spans="1:9" ht="12" customHeight="1">
      <c r="A334" s="55"/>
      <c r="B334" s="56"/>
      <c r="C334" s="57" t="s">
        <v>49</v>
      </c>
      <c r="D334" s="57"/>
      <c r="E334" s="57"/>
      <c r="F334" s="57">
        <f t="shared" si="4"/>
        <v>0</v>
      </c>
      <c r="G334" s="4" t="s">
        <v>408</v>
      </c>
      <c r="H334" s="33" t="s">
        <v>409</v>
      </c>
      <c r="I334" s="54"/>
    </row>
    <row r="335" spans="1:9" ht="12" customHeight="1">
      <c r="A335" s="55"/>
      <c r="B335" s="56"/>
      <c r="C335" s="57" t="s">
        <v>49</v>
      </c>
      <c r="D335" s="57"/>
      <c r="E335" s="57"/>
      <c r="F335" s="57">
        <f t="shared" si="4"/>
        <v>0</v>
      </c>
      <c r="G335" s="4" t="s">
        <v>410</v>
      </c>
      <c r="H335" s="33" t="s">
        <v>411</v>
      </c>
      <c r="I335" s="54"/>
    </row>
    <row r="336" spans="1:9" ht="12" customHeight="1">
      <c r="A336" s="55">
        <v>46287</v>
      </c>
      <c r="B336" s="57" t="s">
        <v>413</v>
      </c>
      <c r="C336" s="57" t="s">
        <v>49</v>
      </c>
      <c r="D336" s="57">
        <v>1824074</v>
      </c>
      <c r="E336" s="57">
        <v>145926</v>
      </c>
      <c r="F336" s="57">
        <f>+D336+E336</f>
        <v>1970000</v>
      </c>
      <c r="G336" s="4" t="s">
        <v>414</v>
      </c>
      <c r="H336" s="33" t="s">
        <v>415</v>
      </c>
      <c r="I336" s="54" t="s">
        <v>416</v>
      </c>
    </row>
    <row r="337" spans="1:9" ht="12" customHeight="1">
      <c r="A337" s="55"/>
      <c r="B337" s="57"/>
      <c r="C337" s="57" t="s">
        <v>49</v>
      </c>
      <c r="D337" s="57"/>
      <c r="E337" s="57"/>
      <c r="F337" s="57"/>
      <c r="G337" s="4" t="s">
        <v>417</v>
      </c>
      <c r="H337" s="33" t="s">
        <v>418</v>
      </c>
      <c r="I337" s="54"/>
    </row>
    <row r="338" spans="1:9" ht="12" customHeight="1">
      <c r="A338" s="55"/>
      <c r="B338" s="57"/>
      <c r="C338" s="57" t="s">
        <v>49</v>
      </c>
      <c r="D338" s="57"/>
      <c r="E338" s="57"/>
      <c r="F338" s="57"/>
      <c r="G338" s="4" t="s">
        <v>419</v>
      </c>
      <c r="H338" s="33" t="s">
        <v>420</v>
      </c>
      <c r="I338" s="54"/>
    </row>
    <row r="339" spans="1:9" ht="12" customHeight="1">
      <c r="A339" s="55">
        <v>46290</v>
      </c>
      <c r="B339" s="57" t="s">
        <v>421</v>
      </c>
      <c r="C339" s="57" t="s">
        <v>49</v>
      </c>
      <c r="D339" s="57">
        <v>1500000</v>
      </c>
      <c r="E339" s="57">
        <v>120000</v>
      </c>
      <c r="F339" s="57">
        <f t="shared" si="4"/>
        <v>1620000</v>
      </c>
      <c r="G339" s="4" t="s">
        <v>414</v>
      </c>
      <c r="H339" s="33" t="s">
        <v>415</v>
      </c>
      <c r="I339" s="54" t="s">
        <v>416</v>
      </c>
    </row>
    <row r="340" spans="1:9" ht="12" customHeight="1">
      <c r="A340" s="55"/>
      <c r="B340" s="57"/>
      <c r="C340" s="57" t="s">
        <v>49</v>
      </c>
      <c r="D340" s="57"/>
      <c r="E340" s="57"/>
      <c r="F340" s="57">
        <f t="shared" si="4"/>
        <v>0</v>
      </c>
      <c r="G340" s="4" t="s">
        <v>417</v>
      </c>
      <c r="H340" s="33" t="s">
        <v>418</v>
      </c>
      <c r="I340" s="54"/>
    </row>
    <row r="341" spans="1:9" ht="12" customHeight="1">
      <c r="A341" s="55"/>
      <c r="B341" s="57"/>
      <c r="C341" s="57" t="s">
        <v>49</v>
      </c>
      <c r="D341" s="57"/>
      <c r="E341" s="57"/>
      <c r="F341" s="57">
        <f t="shared" si="4"/>
        <v>0</v>
      </c>
      <c r="G341" s="4" t="s">
        <v>419</v>
      </c>
      <c r="H341" s="33" t="s">
        <v>420</v>
      </c>
      <c r="I341" s="54"/>
    </row>
    <row r="342" spans="1:9" ht="12" customHeight="1">
      <c r="A342" s="55">
        <v>46286</v>
      </c>
      <c r="B342" s="56" t="s">
        <v>422</v>
      </c>
      <c r="C342" s="57" t="s">
        <v>49</v>
      </c>
      <c r="D342" s="57">
        <v>200000</v>
      </c>
      <c r="E342" s="57">
        <v>16000</v>
      </c>
      <c r="F342" s="57">
        <f>+D342+E342</f>
        <v>216000</v>
      </c>
      <c r="G342" s="1" t="s">
        <v>423</v>
      </c>
      <c r="H342" s="3" t="s">
        <v>424</v>
      </c>
      <c r="I342" s="58" t="s">
        <v>425</v>
      </c>
    </row>
    <row r="343" spans="1:9" ht="12" customHeight="1">
      <c r="A343" s="55"/>
      <c r="B343" s="56"/>
      <c r="C343" s="57"/>
      <c r="D343" s="57"/>
      <c r="E343" s="57"/>
      <c r="F343" s="57">
        <f>+D343+E343</f>
        <v>0</v>
      </c>
      <c r="G343" s="1" t="s">
        <v>426</v>
      </c>
      <c r="H343" s="3" t="s">
        <v>427</v>
      </c>
      <c r="I343" s="58"/>
    </row>
    <row r="344" spans="1:9" ht="12" customHeight="1">
      <c r="A344" s="55">
        <v>46281</v>
      </c>
      <c r="B344" s="56" t="s">
        <v>434</v>
      </c>
      <c r="C344" s="57" t="s">
        <v>435</v>
      </c>
      <c r="D344" s="57">
        <v>4480556</v>
      </c>
      <c r="E344" s="57">
        <v>358444</v>
      </c>
      <c r="F344" s="57">
        <f t="shared" ref="F344" si="5">+D344+E344</f>
        <v>4839000</v>
      </c>
      <c r="G344" s="1" t="s">
        <v>436</v>
      </c>
      <c r="H344" s="2" t="s">
        <v>437</v>
      </c>
      <c r="I344" s="6" t="s">
        <v>438</v>
      </c>
    </row>
    <row r="345" spans="1:9" ht="12" customHeight="1">
      <c r="A345" s="55"/>
      <c r="B345" s="56"/>
      <c r="C345" s="57" t="s">
        <v>7</v>
      </c>
      <c r="D345" s="57"/>
      <c r="E345" s="57"/>
      <c r="F345" s="57"/>
      <c r="G345" s="1" t="s">
        <v>439</v>
      </c>
      <c r="H345" s="2" t="s">
        <v>440</v>
      </c>
      <c r="I345" s="58" t="s">
        <v>441</v>
      </c>
    </row>
    <row r="346" spans="1:9" ht="12" customHeight="1">
      <c r="A346" s="55"/>
      <c r="B346" s="56"/>
      <c r="C346" s="57" t="s">
        <v>7</v>
      </c>
      <c r="D346" s="57"/>
      <c r="E346" s="57"/>
      <c r="F346" s="57"/>
      <c r="G346" s="1" t="s">
        <v>442</v>
      </c>
      <c r="H346" s="2" t="s">
        <v>443</v>
      </c>
      <c r="I346" s="58"/>
    </row>
    <row r="347" spans="1:9" ht="12" customHeight="1">
      <c r="A347" s="55"/>
      <c r="B347" s="56"/>
      <c r="C347" s="57" t="s">
        <v>7</v>
      </c>
      <c r="D347" s="57"/>
      <c r="E347" s="57"/>
      <c r="F347" s="57"/>
      <c r="G347" s="1" t="s">
        <v>444</v>
      </c>
      <c r="H347" s="2" t="s">
        <v>445</v>
      </c>
      <c r="I347" s="6" t="s">
        <v>446</v>
      </c>
    </row>
    <row r="348" spans="1:9" ht="12" customHeight="1">
      <c r="A348" s="55"/>
      <c r="B348" s="56"/>
      <c r="C348" s="57" t="s">
        <v>7</v>
      </c>
      <c r="D348" s="57"/>
      <c r="E348" s="57"/>
      <c r="F348" s="57"/>
      <c r="G348" s="1" t="s">
        <v>447</v>
      </c>
      <c r="H348" s="2" t="s">
        <v>448</v>
      </c>
      <c r="I348" s="58" t="s">
        <v>449</v>
      </c>
    </row>
    <row r="349" spans="1:9" ht="12" customHeight="1">
      <c r="A349" s="55"/>
      <c r="B349" s="56"/>
      <c r="C349" s="57" t="s">
        <v>7</v>
      </c>
      <c r="D349" s="57"/>
      <c r="E349" s="57"/>
      <c r="F349" s="57"/>
      <c r="G349" s="1" t="s">
        <v>450</v>
      </c>
      <c r="H349" s="2" t="s">
        <v>451</v>
      </c>
      <c r="I349" s="58"/>
    </row>
    <row r="350" spans="1:9" ht="12" customHeight="1">
      <c r="A350" s="55"/>
      <c r="B350" s="56"/>
      <c r="C350" s="57" t="s">
        <v>7</v>
      </c>
      <c r="D350" s="57"/>
      <c r="E350" s="57"/>
      <c r="F350" s="57"/>
      <c r="G350" s="1" t="s">
        <v>452</v>
      </c>
      <c r="H350" s="2" t="s">
        <v>453</v>
      </c>
      <c r="I350" s="58"/>
    </row>
    <row r="351" spans="1:9" ht="12" customHeight="1">
      <c r="A351" s="27">
        <v>46281</v>
      </c>
      <c r="B351" s="28" t="s">
        <v>471</v>
      </c>
      <c r="C351" s="29" t="s">
        <v>435</v>
      </c>
      <c r="D351" s="30">
        <v>1493519</v>
      </c>
      <c r="E351" s="30">
        <v>119481</v>
      </c>
      <c r="F351" s="30">
        <f t="shared" ref="F351" si="6">+D351+E351</f>
        <v>1613000</v>
      </c>
      <c r="G351" s="1" t="s">
        <v>468</v>
      </c>
      <c r="H351" s="2" t="s">
        <v>469</v>
      </c>
      <c r="I351" s="6" t="s">
        <v>470</v>
      </c>
    </row>
    <row r="352" spans="1:9" ht="12" customHeight="1">
      <c r="A352" s="55">
        <v>46281</v>
      </c>
      <c r="B352" s="56" t="s">
        <v>455</v>
      </c>
      <c r="C352" s="57" t="s">
        <v>456</v>
      </c>
      <c r="D352" s="57">
        <v>3866667</v>
      </c>
      <c r="E352" s="57">
        <v>309333</v>
      </c>
      <c r="F352" s="57">
        <f t="shared" ref="F352" si="7">+D352+E352</f>
        <v>4176000</v>
      </c>
      <c r="G352" s="1" t="s">
        <v>457</v>
      </c>
      <c r="H352" s="2" t="s">
        <v>458</v>
      </c>
      <c r="I352" s="6" t="s">
        <v>459</v>
      </c>
    </row>
    <row r="353" spans="1:9" ht="12" customHeight="1">
      <c r="A353" s="55"/>
      <c r="B353" s="56"/>
      <c r="C353" s="57" t="s">
        <v>7</v>
      </c>
      <c r="D353" s="57"/>
      <c r="E353" s="57"/>
      <c r="F353" s="57"/>
      <c r="G353" s="1" t="s">
        <v>460</v>
      </c>
      <c r="H353" s="2" t="s">
        <v>461</v>
      </c>
      <c r="I353" s="6" t="s">
        <v>462</v>
      </c>
    </row>
    <row r="354" spans="1:9" ht="12" customHeight="1">
      <c r="A354" s="55"/>
      <c r="B354" s="56"/>
      <c r="C354" s="57" t="s">
        <v>7</v>
      </c>
      <c r="D354" s="57"/>
      <c r="E354" s="57"/>
      <c r="F354" s="57"/>
      <c r="G354" s="1" t="s">
        <v>463</v>
      </c>
      <c r="H354" s="2" t="s">
        <v>464</v>
      </c>
      <c r="I354" s="58" t="s">
        <v>465</v>
      </c>
    </row>
    <row r="355" spans="1:9" ht="12" customHeight="1">
      <c r="A355" s="55"/>
      <c r="B355" s="56"/>
      <c r="C355" s="57" t="s">
        <v>7</v>
      </c>
      <c r="D355" s="57"/>
      <c r="E355" s="57"/>
      <c r="F355" s="57"/>
      <c r="G355" s="1" t="s">
        <v>466</v>
      </c>
      <c r="H355" s="2" t="s">
        <v>467</v>
      </c>
      <c r="I355" s="58"/>
    </row>
    <row r="356" spans="1:9" ht="12" customHeight="1">
      <c r="A356" s="55"/>
      <c r="B356" s="56"/>
      <c r="C356" s="57" t="s">
        <v>7</v>
      </c>
      <c r="D356" s="57"/>
      <c r="E356" s="57"/>
      <c r="F356" s="57"/>
      <c r="G356" s="1" t="s">
        <v>468</v>
      </c>
      <c r="H356" s="2" t="s">
        <v>469</v>
      </c>
      <c r="I356" s="6" t="s">
        <v>470</v>
      </c>
    </row>
    <row r="357" spans="1:9" ht="12" customHeight="1">
      <c r="A357" s="55">
        <v>46281</v>
      </c>
      <c r="B357" s="64" t="s">
        <v>454</v>
      </c>
      <c r="C357" s="57" t="s">
        <v>435</v>
      </c>
      <c r="D357" s="57">
        <v>250926</v>
      </c>
      <c r="E357" s="57"/>
      <c r="F357" s="57">
        <f t="shared" ref="F357:F359" si="8">+D357+E357</f>
        <v>250926</v>
      </c>
      <c r="G357" s="1" t="s">
        <v>447</v>
      </c>
      <c r="H357" s="2" t="s">
        <v>448</v>
      </c>
      <c r="I357" s="58" t="s">
        <v>449</v>
      </c>
    </row>
    <row r="358" spans="1:9" ht="12" customHeight="1">
      <c r="A358" s="55"/>
      <c r="B358" s="57"/>
      <c r="C358" s="57" t="s">
        <v>7</v>
      </c>
      <c r="D358" s="57"/>
      <c r="E358" s="57"/>
      <c r="F358" s="57">
        <f t="shared" si="8"/>
        <v>0</v>
      </c>
      <c r="G358" s="1" t="s">
        <v>450</v>
      </c>
      <c r="H358" s="2" t="s">
        <v>451</v>
      </c>
      <c r="I358" s="58"/>
    </row>
    <row r="359" spans="1:9" ht="12" customHeight="1">
      <c r="A359" s="55"/>
      <c r="B359" s="57"/>
      <c r="C359" s="57" t="s">
        <v>7</v>
      </c>
      <c r="D359" s="57"/>
      <c r="E359" s="57"/>
      <c r="F359" s="57">
        <f t="shared" si="8"/>
        <v>0</v>
      </c>
      <c r="G359" s="1" t="s">
        <v>452</v>
      </c>
      <c r="H359" s="2" t="s">
        <v>453</v>
      </c>
      <c r="I359" s="58"/>
    </row>
    <row r="360" spans="1:9" s="37" customFormat="1" ht="12" customHeight="1" thickBot="1">
      <c r="A360" s="52" t="s">
        <v>484</v>
      </c>
      <c r="B360" s="53"/>
      <c r="C360" s="53"/>
      <c r="D360" s="34">
        <f>SUM(D11:D359)</f>
        <v>119181484</v>
      </c>
      <c r="E360" s="35">
        <f>D360*8%</f>
        <v>9534518.7200000007</v>
      </c>
      <c r="F360" s="34">
        <f>+D360+E360</f>
        <v>128716002.72</v>
      </c>
      <c r="G360" s="34"/>
      <c r="H360" s="34"/>
      <c r="I360" s="36"/>
    </row>
    <row r="361" spans="1:9" ht="12" customHeight="1" thickTop="1">
      <c r="A361" s="38"/>
      <c r="B361" s="38"/>
      <c r="C361" s="38"/>
      <c r="D361" s="39"/>
      <c r="E361" s="39"/>
      <c r="F361" s="39"/>
      <c r="G361" s="39"/>
      <c r="H361" s="39"/>
      <c r="I361" s="9"/>
    </row>
    <row r="362" spans="1:9" s="42" customFormat="1" ht="12" customHeight="1">
      <c r="A362" s="40"/>
      <c r="B362" s="41" t="s">
        <v>428</v>
      </c>
      <c r="C362" s="40"/>
      <c r="E362" s="43"/>
      <c r="F362" s="40"/>
      <c r="H362" s="43" t="s">
        <v>429</v>
      </c>
      <c r="I362" s="9"/>
    </row>
    <row r="363" spans="1:9" s="42" customFormat="1" ht="12" customHeight="1">
      <c r="A363" s="44"/>
      <c r="B363" s="44" t="s">
        <v>430</v>
      </c>
      <c r="C363" s="45"/>
      <c r="D363" s="46"/>
      <c r="E363" s="43" t="s">
        <v>431</v>
      </c>
      <c r="F363" s="47"/>
      <c r="G363" s="45"/>
      <c r="H363" s="45" t="s">
        <v>432</v>
      </c>
      <c r="I363" s="9"/>
    </row>
    <row r="367" spans="1:9" ht="28.5" customHeight="1">
      <c r="H367" s="48" t="s">
        <v>433</v>
      </c>
    </row>
  </sheetData>
  <mergeCells count="459">
    <mergeCell ref="B357:B359"/>
    <mergeCell ref="C357:C359"/>
    <mergeCell ref="D357:D359"/>
    <mergeCell ref="E357:E359"/>
    <mergeCell ref="F357:F359"/>
    <mergeCell ref="I357:I359"/>
    <mergeCell ref="A352:A356"/>
    <mergeCell ref="B352:B356"/>
    <mergeCell ref="C352:C356"/>
    <mergeCell ref="D352:D356"/>
    <mergeCell ref="E352:E356"/>
    <mergeCell ref="F352:F356"/>
    <mergeCell ref="I354:I355"/>
    <mergeCell ref="A18:A23"/>
    <mergeCell ref="B18:B23"/>
    <mergeCell ref="C18:C23"/>
    <mergeCell ref="D18:D23"/>
    <mergeCell ref="E18:E23"/>
    <mergeCell ref="F18:F23"/>
    <mergeCell ref="I18:I23"/>
    <mergeCell ref="A9:I9"/>
    <mergeCell ref="A10:I10"/>
    <mergeCell ref="A12:A17"/>
    <mergeCell ref="B12:B17"/>
    <mergeCell ref="C12:C17"/>
    <mergeCell ref="D12:D17"/>
    <mergeCell ref="E12:E17"/>
    <mergeCell ref="F12:F17"/>
    <mergeCell ref="I12:I17"/>
    <mergeCell ref="I24:I35"/>
    <mergeCell ref="A36:A47"/>
    <mergeCell ref="B36:B47"/>
    <mergeCell ref="C36:C47"/>
    <mergeCell ref="D36:D47"/>
    <mergeCell ref="E36:E47"/>
    <mergeCell ref="F36:F47"/>
    <mergeCell ref="I36:I47"/>
    <mergeCell ref="A24:A35"/>
    <mergeCell ref="B24:B35"/>
    <mergeCell ref="C24:C35"/>
    <mergeCell ref="D24:D35"/>
    <mergeCell ref="E24:E35"/>
    <mergeCell ref="F24:F35"/>
    <mergeCell ref="I48:I53"/>
    <mergeCell ref="A54:A59"/>
    <mergeCell ref="B54:B59"/>
    <mergeCell ref="C54:C59"/>
    <mergeCell ref="D54:D59"/>
    <mergeCell ref="E54:E59"/>
    <mergeCell ref="F54:F59"/>
    <mergeCell ref="I54:I59"/>
    <mergeCell ref="A48:A53"/>
    <mergeCell ref="B48:B53"/>
    <mergeCell ref="C48:C53"/>
    <mergeCell ref="D48:D53"/>
    <mergeCell ref="E48:E53"/>
    <mergeCell ref="F48:F53"/>
    <mergeCell ref="I60:I64"/>
    <mergeCell ref="A65:A69"/>
    <mergeCell ref="B65:B69"/>
    <mergeCell ref="C65:C69"/>
    <mergeCell ref="D65:D69"/>
    <mergeCell ref="E65:E69"/>
    <mergeCell ref="F65:F69"/>
    <mergeCell ref="I65:I69"/>
    <mergeCell ref="A60:A64"/>
    <mergeCell ref="B60:B64"/>
    <mergeCell ref="C60:C64"/>
    <mergeCell ref="D60:D64"/>
    <mergeCell ref="E60:E64"/>
    <mergeCell ref="F60:F64"/>
    <mergeCell ref="I70:I80"/>
    <mergeCell ref="A81:A91"/>
    <mergeCell ref="B81:B91"/>
    <mergeCell ref="C81:C91"/>
    <mergeCell ref="D81:D91"/>
    <mergeCell ref="E81:E91"/>
    <mergeCell ref="F81:F91"/>
    <mergeCell ref="I81:I91"/>
    <mergeCell ref="A70:A80"/>
    <mergeCell ref="B70:B80"/>
    <mergeCell ref="C70:C80"/>
    <mergeCell ref="D70:D80"/>
    <mergeCell ref="E70:E80"/>
    <mergeCell ref="F70:F80"/>
    <mergeCell ref="I92:I94"/>
    <mergeCell ref="A95:A97"/>
    <mergeCell ref="B95:B97"/>
    <mergeCell ref="C95:C97"/>
    <mergeCell ref="D95:D97"/>
    <mergeCell ref="E95:E97"/>
    <mergeCell ref="F95:F97"/>
    <mergeCell ref="I95:I97"/>
    <mergeCell ref="A92:A94"/>
    <mergeCell ref="B92:B94"/>
    <mergeCell ref="C92:C94"/>
    <mergeCell ref="D92:D94"/>
    <mergeCell ref="E92:E94"/>
    <mergeCell ref="F92:F94"/>
    <mergeCell ref="I100:I106"/>
    <mergeCell ref="A107:A113"/>
    <mergeCell ref="B107:B113"/>
    <mergeCell ref="C107:C113"/>
    <mergeCell ref="D107:D113"/>
    <mergeCell ref="E107:E113"/>
    <mergeCell ref="F107:F113"/>
    <mergeCell ref="I107:I113"/>
    <mergeCell ref="A100:A106"/>
    <mergeCell ref="B100:B106"/>
    <mergeCell ref="C100:C106"/>
    <mergeCell ref="D100:D106"/>
    <mergeCell ref="E100:E106"/>
    <mergeCell ref="F100:F106"/>
    <mergeCell ref="I114:I116"/>
    <mergeCell ref="A117:A119"/>
    <mergeCell ref="B117:B119"/>
    <mergeCell ref="C117:C119"/>
    <mergeCell ref="D117:D119"/>
    <mergeCell ref="E117:E119"/>
    <mergeCell ref="F117:F119"/>
    <mergeCell ref="I117:I119"/>
    <mergeCell ref="A114:A116"/>
    <mergeCell ref="B114:B116"/>
    <mergeCell ref="C114:C116"/>
    <mergeCell ref="D114:D116"/>
    <mergeCell ref="E114:E116"/>
    <mergeCell ref="F114:F116"/>
    <mergeCell ref="I120:I121"/>
    <mergeCell ref="A122:A123"/>
    <mergeCell ref="B122:B123"/>
    <mergeCell ref="C122:C123"/>
    <mergeCell ref="D122:D123"/>
    <mergeCell ref="E122:E123"/>
    <mergeCell ref="F122:F123"/>
    <mergeCell ref="I122:I123"/>
    <mergeCell ref="A120:A121"/>
    <mergeCell ref="B120:B121"/>
    <mergeCell ref="C120:C121"/>
    <mergeCell ref="D120:D121"/>
    <mergeCell ref="E120:E121"/>
    <mergeCell ref="F120:F121"/>
    <mergeCell ref="I124:I125"/>
    <mergeCell ref="A126:A127"/>
    <mergeCell ref="B126:B127"/>
    <mergeCell ref="C126:C127"/>
    <mergeCell ref="D126:D127"/>
    <mergeCell ref="E126:E127"/>
    <mergeCell ref="F126:F127"/>
    <mergeCell ref="I126:I127"/>
    <mergeCell ref="A124:A125"/>
    <mergeCell ref="B124:B125"/>
    <mergeCell ref="C124:C125"/>
    <mergeCell ref="D124:D125"/>
    <mergeCell ref="E124:E125"/>
    <mergeCell ref="F124:F125"/>
    <mergeCell ref="I128:I130"/>
    <mergeCell ref="A131:A133"/>
    <mergeCell ref="B131:B133"/>
    <mergeCell ref="C131:C133"/>
    <mergeCell ref="D131:D133"/>
    <mergeCell ref="E131:E133"/>
    <mergeCell ref="F131:F133"/>
    <mergeCell ref="I131:I133"/>
    <mergeCell ref="A128:A130"/>
    <mergeCell ref="B128:B130"/>
    <mergeCell ref="C128:C130"/>
    <mergeCell ref="D128:D130"/>
    <mergeCell ref="E128:E130"/>
    <mergeCell ref="F128:F130"/>
    <mergeCell ref="I134:I136"/>
    <mergeCell ref="A137:A139"/>
    <mergeCell ref="B137:B139"/>
    <mergeCell ref="C137:C139"/>
    <mergeCell ref="D137:D139"/>
    <mergeCell ref="E137:E139"/>
    <mergeCell ref="F137:F139"/>
    <mergeCell ref="I137:I139"/>
    <mergeCell ref="A134:A136"/>
    <mergeCell ref="B134:B136"/>
    <mergeCell ref="C134:C136"/>
    <mergeCell ref="D134:D136"/>
    <mergeCell ref="E134:E136"/>
    <mergeCell ref="F134:F136"/>
    <mergeCell ref="I140:I146"/>
    <mergeCell ref="A147:A153"/>
    <mergeCell ref="B147:B153"/>
    <mergeCell ref="C147:C153"/>
    <mergeCell ref="D147:D153"/>
    <mergeCell ref="E147:E153"/>
    <mergeCell ref="F147:F153"/>
    <mergeCell ref="I147:I153"/>
    <mergeCell ref="A140:A146"/>
    <mergeCell ref="B140:B146"/>
    <mergeCell ref="C140:C146"/>
    <mergeCell ref="D140:D146"/>
    <mergeCell ref="E140:E146"/>
    <mergeCell ref="F140:F146"/>
    <mergeCell ref="I154:I156"/>
    <mergeCell ref="A157:A159"/>
    <mergeCell ref="B157:B159"/>
    <mergeCell ref="C157:C159"/>
    <mergeCell ref="D157:D159"/>
    <mergeCell ref="E157:E159"/>
    <mergeCell ref="F157:F159"/>
    <mergeCell ref="I157:I159"/>
    <mergeCell ref="A154:A156"/>
    <mergeCell ref="B154:B156"/>
    <mergeCell ref="C154:C156"/>
    <mergeCell ref="D154:D156"/>
    <mergeCell ref="E154:E156"/>
    <mergeCell ref="F154:F156"/>
    <mergeCell ref="I164:I174"/>
    <mergeCell ref="A175:A185"/>
    <mergeCell ref="B175:B185"/>
    <mergeCell ref="C175:C185"/>
    <mergeCell ref="D175:D185"/>
    <mergeCell ref="E175:E185"/>
    <mergeCell ref="F175:F185"/>
    <mergeCell ref="I175:I185"/>
    <mergeCell ref="A164:A174"/>
    <mergeCell ref="B164:B174"/>
    <mergeCell ref="C164:C174"/>
    <mergeCell ref="D164:D174"/>
    <mergeCell ref="E164:E174"/>
    <mergeCell ref="F164:F174"/>
    <mergeCell ref="I186:I193"/>
    <mergeCell ref="A194:A201"/>
    <mergeCell ref="B194:B201"/>
    <mergeCell ref="C194:C201"/>
    <mergeCell ref="D194:D201"/>
    <mergeCell ref="E194:E201"/>
    <mergeCell ref="F194:F201"/>
    <mergeCell ref="I194:I201"/>
    <mergeCell ref="A186:A193"/>
    <mergeCell ref="B186:B193"/>
    <mergeCell ref="C186:C193"/>
    <mergeCell ref="D186:D193"/>
    <mergeCell ref="E186:E193"/>
    <mergeCell ref="F186:F193"/>
    <mergeCell ref="I202:I209"/>
    <mergeCell ref="A210:A217"/>
    <mergeCell ref="B210:B217"/>
    <mergeCell ref="C210:C217"/>
    <mergeCell ref="D210:D217"/>
    <mergeCell ref="E210:E217"/>
    <mergeCell ref="F210:F217"/>
    <mergeCell ref="I210:I217"/>
    <mergeCell ref="A202:A209"/>
    <mergeCell ref="B202:B209"/>
    <mergeCell ref="C202:C209"/>
    <mergeCell ref="D202:D209"/>
    <mergeCell ref="E202:E209"/>
    <mergeCell ref="F202:F209"/>
    <mergeCell ref="I218:I229"/>
    <mergeCell ref="A230:A241"/>
    <mergeCell ref="B230:B241"/>
    <mergeCell ref="C230:C241"/>
    <mergeCell ref="D230:D241"/>
    <mergeCell ref="E230:E241"/>
    <mergeCell ref="F230:F241"/>
    <mergeCell ref="I230:I241"/>
    <mergeCell ref="A218:A229"/>
    <mergeCell ref="B218:B229"/>
    <mergeCell ref="C218:C229"/>
    <mergeCell ref="D218:D229"/>
    <mergeCell ref="E218:E229"/>
    <mergeCell ref="F218:F229"/>
    <mergeCell ref="I242:I244"/>
    <mergeCell ref="A245:A247"/>
    <mergeCell ref="B245:B247"/>
    <mergeCell ref="C245:C247"/>
    <mergeCell ref="D245:D247"/>
    <mergeCell ref="E245:E247"/>
    <mergeCell ref="F245:F247"/>
    <mergeCell ref="I245:I247"/>
    <mergeCell ref="A242:A244"/>
    <mergeCell ref="B242:B244"/>
    <mergeCell ref="C242:C244"/>
    <mergeCell ref="D242:D244"/>
    <mergeCell ref="E242:E244"/>
    <mergeCell ref="F242:F244"/>
    <mergeCell ref="I248:I259"/>
    <mergeCell ref="A260:A271"/>
    <mergeCell ref="B260:B271"/>
    <mergeCell ref="C260:C271"/>
    <mergeCell ref="D260:D271"/>
    <mergeCell ref="E260:E271"/>
    <mergeCell ref="F260:F271"/>
    <mergeCell ref="I260:I271"/>
    <mergeCell ref="A248:A259"/>
    <mergeCell ref="B248:B259"/>
    <mergeCell ref="C248:C259"/>
    <mergeCell ref="D248:D259"/>
    <mergeCell ref="E248:E259"/>
    <mergeCell ref="F248:F259"/>
    <mergeCell ref="I272:I275"/>
    <mergeCell ref="A276:A279"/>
    <mergeCell ref="B276:B279"/>
    <mergeCell ref="C276:C279"/>
    <mergeCell ref="D276:D279"/>
    <mergeCell ref="E276:E279"/>
    <mergeCell ref="F276:F279"/>
    <mergeCell ref="I276:I279"/>
    <mergeCell ref="A272:A275"/>
    <mergeCell ref="B272:B275"/>
    <mergeCell ref="C272:C275"/>
    <mergeCell ref="D272:D275"/>
    <mergeCell ref="E272:E275"/>
    <mergeCell ref="F272:F275"/>
    <mergeCell ref="I280:I282"/>
    <mergeCell ref="A283:A285"/>
    <mergeCell ref="B283:B285"/>
    <mergeCell ref="C283:C285"/>
    <mergeCell ref="D283:D285"/>
    <mergeCell ref="E283:E285"/>
    <mergeCell ref="F283:F285"/>
    <mergeCell ref="I283:I285"/>
    <mergeCell ref="A280:A282"/>
    <mergeCell ref="B280:B282"/>
    <mergeCell ref="C280:C282"/>
    <mergeCell ref="D280:D282"/>
    <mergeCell ref="E280:E282"/>
    <mergeCell ref="F280:F282"/>
    <mergeCell ref="I286:I288"/>
    <mergeCell ref="A289:A291"/>
    <mergeCell ref="B289:B291"/>
    <mergeCell ref="C289:C291"/>
    <mergeCell ref="D289:D291"/>
    <mergeCell ref="E289:E291"/>
    <mergeCell ref="F289:F291"/>
    <mergeCell ref="I289:I291"/>
    <mergeCell ref="A286:A288"/>
    <mergeCell ref="B286:B288"/>
    <mergeCell ref="C286:C288"/>
    <mergeCell ref="D286:D288"/>
    <mergeCell ref="E286:E288"/>
    <mergeCell ref="F286:F288"/>
    <mergeCell ref="I292:I293"/>
    <mergeCell ref="A294:A296"/>
    <mergeCell ref="B294:B296"/>
    <mergeCell ref="C294:C296"/>
    <mergeCell ref="D294:D296"/>
    <mergeCell ref="E294:E296"/>
    <mergeCell ref="F294:F296"/>
    <mergeCell ref="I294:I296"/>
    <mergeCell ref="A292:A293"/>
    <mergeCell ref="B292:B293"/>
    <mergeCell ref="C292:C293"/>
    <mergeCell ref="D292:D293"/>
    <mergeCell ref="E292:E293"/>
    <mergeCell ref="F292:F293"/>
    <mergeCell ref="I298:I299"/>
    <mergeCell ref="A300:A301"/>
    <mergeCell ref="B300:B301"/>
    <mergeCell ref="C300:C301"/>
    <mergeCell ref="D300:D301"/>
    <mergeCell ref="E300:E301"/>
    <mergeCell ref="F300:F301"/>
    <mergeCell ref="I300:I301"/>
    <mergeCell ref="A298:A299"/>
    <mergeCell ref="B298:B299"/>
    <mergeCell ref="C298:C299"/>
    <mergeCell ref="D298:D299"/>
    <mergeCell ref="E298:E299"/>
    <mergeCell ref="F298:F299"/>
    <mergeCell ref="I302:I305"/>
    <mergeCell ref="A306:A309"/>
    <mergeCell ref="B306:B309"/>
    <mergeCell ref="C306:C309"/>
    <mergeCell ref="D306:D309"/>
    <mergeCell ref="E306:E309"/>
    <mergeCell ref="F306:F309"/>
    <mergeCell ref="I306:I309"/>
    <mergeCell ref="A302:A305"/>
    <mergeCell ref="B302:B305"/>
    <mergeCell ref="C302:C305"/>
    <mergeCell ref="D302:D305"/>
    <mergeCell ref="E302:E305"/>
    <mergeCell ref="F302:F305"/>
    <mergeCell ref="I310:I311"/>
    <mergeCell ref="A312:A313"/>
    <mergeCell ref="B312:B313"/>
    <mergeCell ref="C312:C313"/>
    <mergeCell ref="D312:D313"/>
    <mergeCell ref="E312:E313"/>
    <mergeCell ref="F312:F313"/>
    <mergeCell ref="I312:I313"/>
    <mergeCell ref="A310:A311"/>
    <mergeCell ref="B310:B311"/>
    <mergeCell ref="C310:C311"/>
    <mergeCell ref="D310:D311"/>
    <mergeCell ref="E310:E311"/>
    <mergeCell ref="F310:F311"/>
    <mergeCell ref="I314:I315"/>
    <mergeCell ref="A316:A317"/>
    <mergeCell ref="B316:B317"/>
    <mergeCell ref="C316:C317"/>
    <mergeCell ref="D316:D317"/>
    <mergeCell ref="E316:E317"/>
    <mergeCell ref="F316:F317"/>
    <mergeCell ref="I316:I317"/>
    <mergeCell ref="A314:A315"/>
    <mergeCell ref="B314:B315"/>
    <mergeCell ref="C314:C315"/>
    <mergeCell ref="D314:D315"/>
    <mergeCell ref="E314:E315"/>
    <mergeCell ref="F314:F315"/>
    <mergeCell ref="I321:I322"/>
    <mergeCell ref="A324:A329"/>
    <mergeCell ref="B324:B329"/>
    <mergeCell ref="C324:C329"/>
    <mergeCell ref="D324:D329"/>
    <mergeCell ref="E324:E329"/>
    <mergeCell ref="F324:F329"/>
    <mergeCell ref="I324:I329"/>
    <mergeCell ref="A321:A322"/>
    <mergeCell ref="B321:B322"/>
    <mergeCell ref="C321:C322"/>
    <mergeCell ref="D321:D322"/>
    <mergeCell ref="E321:E322"/>
    <mergeCell ref="F321:F322"/>
    <mergeCell ref="I330:I335"/>
    <mergeCell ref="A336:A338"/>
    <mergeCell ref="B336:B338"/>
    <mergeCell ref="C336:C338"/>
    <mergeCell ref="D336:D338"/>
    <mergeCell ref="E336:E338"/>
    <mergeCell ref="F336:F338"/>
    <mergeCell ref="I336:I338"/>
    <mergeCell ref="A330:A335"/>
    <mergeCell ref="B330:B335"/>
    <mergeCell ref="C330:C335"/>
    <mergeCell ref="D330:D335"/>
    <mergeCell ref="E330:E335"/>
    <mergeCell ref="F330:F335"/>
    <mergeCell ref="A360:C360"/>
    <mergeCell ref="I339:I341"/>
    <mergeCell ref="A342:A343"/>
    <mergeCell ref="B342:B343"/>
    <mergeCell ref="C342:C343"/>
    <mergeCell ref="D342:D343"/>
    <mergeCell ref="E342:E343"/>
    <mergeCell ref="F342:F343"/>
    <mergeCell ref="I342:I343"/>
    <mergeCell ref="A339:A341"/>
    <mergeCell ref="B339:B341"/>
    <mergeCell ref="C339:C341"/>
    <mergeCell ref="D339:D341"/>
    <mergeCell ref="E339:E341"/>
    <mergeCell ref="F339:F341"/>
    <mergeCell ref="A344:A350"/>
    <mergeCell ref="B344:B350"/>
    <mergeCell ref="C344:C350"/>
    <mergeCell ref="D344:D350"/>
    <mergeCell ref="E344:E350"/>
    <mergeCell ref="F344:F350"/>
    <mergeCell ref="I345:I346"/>
    <mergeCell ref="I348:I350"/>
    <mergeCell ref="A357:A359"/>
  </mergeCells>
  <phoneticPr fontId="12" type="noConversion"/>
  <conditionalFormatting sqref="B1:B2 B4:B5">
    <cfRule type="duplicateValues" dxfId="145" priority="152" stopIfTrue="1"/>
  </conditionalFormatting>
  <conditionalFormatting sqref="B3">
    <cfRule type="duplicateValues" dxfId="144" priority="147" stopIfTrue="1"/>
    <cfRule type="duplicateValues" dxfId="143" priority="146" stopIfTrue="1"/>
  </conditionalFormatting>
  <conditionalFormatting sqref="B1:C2 B4:C5 C3">
    <cfRule type="duplicateValues" dxfId="142" priority="151" stopIfTrue="1"/>
  </conditionalFormatting>
  <conditionalFormatting sqref="B6:C6">
    <cfRule type="duplicateValues" dxfId="141" priority="148" stopIfTrue="1"/>
  </conditionalFormatting>
  <conditionalFormatting sqref="C1:C5">
    <cfRule type="duplicateValues" dxfId="140" priority="150" stopIfTrue="1"/>
  </conditionalFormatting>
  <conditionalFormatting sqref="C6">
    <cfRule type="duplicateValues" dxfId="139" priority="149" stopIfTrue="1"/>
  </conditionalFormatting>
  <conditionalFormatting sqref="G48:G53">
    <cfRule type="duplicateValues" dxfId="138" priority="133" stopIfTrue="1"/>
    <cfRule type="duplicateValues" dxfId="137" priority="134" stopIfTrue="1"/>
    <cfRule type="duplicateValues" dxfId="136" priority="132" stopIfTrue="1"/>
    <cfRule type="duplicateValues" dxfId="135" priority="131" stopIfTrue="1"/>
    <cfRule type="duplicateValues" dxfId="134" priority="130" stopIfTrue="1"/>
  </conditionalFormatting>
  <conditionalFormatting sqref="G54:G59">
    <cfRule type="duplicateValues" dxfId="133" priority="137" stopIfTrue="1"/>
    <cfRule type="duplicateValues" dxfId="132" priority="136" stopIfTrue="1"/>
  </conditionalFormatting>
  <conditionalFormatting sqref="G60:G64">
    <cfRule type="duplicateValues" dxfId="131" priority="128" stopIfTrue="1"/>
    <cfRule type="duplicateValues" dxfId="130" priority="129" stopIfTrue="1"/>
    <cfRule type="duplicateValues" dxfId="129" priority="127" stopIfTrue="1"/>
    <cfRule type="duplicateValues" dxfId="128" priority="126" stopIfTrue="1"/>
    <cfRule type="duplicateValues" dxfId="127" priority="125" stopIfTrue="1"/>
  </conditionalFormatting>
  <conditionalFormatting sqref="G70:G80">
    <cfRule type="duplicateValues" dxfId="126" priority="124" stopIfTrue="1"/>
    <cfRule type="duplicateValues" dxfId="125" priority="123" stopIfTrue="1"/>
    <cfRule type="duplicateValues" dxfId="124" priority="122" stopIfTrue="1"/>
  </conditionalFormatting>
  <conditionalFormatting sqref="G92:G94">
    <cfRule type="duplicateValues" dxfId="123" priority="121" stopIfTrue="1"/>
    <cfRule type="duplicateValues" dxfId="122" priority="120" stopIfTrue="1"/>
    <cfRule type="duplicateValues" dxfId="121" priority="119" stopIfTrue="1"/>
  </conditionalFormatting>
  <conditionalFormatting sqref="G98">
    <cfRule type="duplicateValues" dxfId="120" priority="118" stopIfTrue="1"/>
    <cfRule type="duplicateValues" dxfId="119" priority="117" stopIfTrue="1"/>
    <cfRule type="duplicateValues" dxfId="118" priority="116" stopIfTrue="1"/>
  </conditionalFormatting>
  <conditionalFormatting sqref="G100:G106">
    <cfRule type="duplicateValues" dxfId="117" priority="115" stopIfTrue="1"/>
    <cfRule type="duplicateValues" dxfId="116" priority="114" stopIfTrue="1"/>
    <cfRule type="duplicateValues" dxfId="115" priority="113" stopIfTrue="1"/>
  </conditionalFormatting>
  <conditionalFormatting sqref="G114:G116">
    <cfRule type="duplicateValues" dxfId="114" priority="110" stopIfTrue="1"/>
    <cfRule type="duplicateValues" dxfId="113" priority="112" stopIfTrue="1"/>
    <cfRule type="duplicateValues" dxfId="112" priority="111" stopIfTrue="1"/>
  </conditionalFormatting>
  <conditionalFormatting sqref="G120:G121">
    <cfRule type="duplicateValues" dxfId="111" priority="109" stopIfTrue="1"/>
    <cfRule type="duplicateValues" dxfId="110" priority="108" stopIfTrue="1"/>
    <cfRule type="duplicateValues" dxfId="109" priority="107" stopIfTrue="1"/>
  </conditionalFormatting>
  <conditionalFormatting sqref="G124:G125">
    <cfRule type="duplicateValues" dxfId="108" priority="106" stopIfTrue="1"/>
    <cfRule type="duplicateValues" dxfId="107" priority="105" stopIfTrue="1"/>
    <cfRule type="duplicateValues" dxfId="106" priority="104" stopIfTrue="1"/>
  </conditionalFormatting>
  <conditionalFormatting sqref="G128:G130">
    <cfRule type="duplicateValues" dxfId="105" priority="102" stopIfTrue="1"/>
    <cfRule type="duplicateValues" dxfId="104" priority="101" stopIfTrue="1"/>
    <cfRule type="duplicateValues" dxfId="103" priority="103" stopIfTrue="1"/>
  </conditionalFormatting>
  <conditionalFormatting sqref="G134:G136">
    <cfRule type="duplicateValues" dxfId="102" priority="98" stopIfTrue="1"/>
    <cfRule type="duplicateValues" dxfId="101" priority="99" stopIfTrue="1"/>
    <cfRule type="duplicateValues" dxfId="100" priority="100" stopIfTrue="1"/>
  </conditionalFormatting>
  <conditionalFormatting sqref="G140:G146">
    <cfRule type="duplicateValues" dxfId="99" priority="97" stopIfTrue="1"/>
    <cfRule type="duplicateValues" dxfId="98" priority="96" stopIfTrue="1"/>
    <cfRule type="duplicateValues" dxfId="97" priority="95" stopIfTrue="1"/>
  </conditionalFormatting>
  <conditionalFormatting sqref="G154:G156">
    <cfRule type="duplicateValues" dxfId="96" priority="92" stopIfTrue="1"/>
    <cfRule type="duplicateValues" dxfId="95" priority="94" stopIfTrue="1"/>
    <cfRule type="duplicateValues" dxfId="94" priority="93" stopIfTrue="1"/>
  </conditionalFormatting>
  <conditionalFormatting sqref="G160">
    <cfRule type="duplicateValues" dxfId="93" priority="91" stopIfTrue="1"/>
    <cfRule type="duplicateValues" dxfId="92" priority="90" stopIfTrue="1"/>
    <cfRule type="duplicateValues" dxfId="91" priority="89" stopIfTrue="1"/>
  </conditionalFormatting>
  <conditionalFormatting sqref="G162">
    <cfRule type="duplicateValues" dxfId="90" priority="88" stopIfTrue="1"/>
    <cfRule type="duplicateValues" dxfId="89" priority="87" stopIfTrue="1"/>
    <cfRule type="duplicateValues" dxfId="88" priority="86" stopIfTrue="1"/>
  </conditionalFormatting>
  <conditionalFormatting sqref="G164:G174">
    <cfRule type="duplicateValues" dxfId="87" priority="83" stopIfTrue="1"/>
    <cfRule type="duplicateValues" dxfId="86" priority="85" stopIfTrue="1"/>
    <cfRule type="duplicateValues" dxfId="85" priority="84" stopIfTrue="1"/>
  </conditionalFormatting>
  <conditionalFormatting sqref="G186:G193">
    <cfRule type="duplicateValues" dxfId="84" priority="80" stopIfTrue="1"/>
    <cfRule type="duplicateValues" dxfId="83" priority="82" stopIfTrue="1"/>
    <cfRule type="duplicateValues" dxfId="82" priority="81" stopIfTrue="1"/>
  </conditionalFormatting>
  <conditionalFormatting sqref="G202:G209">
    <cfRule type="duplicateValues" dxfId="81" priority="79" stopIfTrue="1"/>
    <cfRule type="duplicateValues" dxfId="80" priority="77" stopIfTrue="1"/>
    <cfRule type="duplicateValues" dxfId="79" priority="78" stopIfTrue="1"/>
  </conditionalFormatting>
  <conditionalFormatting sqref="G218:G229">
    <cfRule type="duplicateValues" dxfId="78" priority="74" stopIfTrue="1"/>
    <cfRule type="duplicateValues" dxfId="77" priority="75" stopIfTrue="1"/>
    <cfRule type="duplicateValues" dxfId="76" priority="76" stopIfTrue="1"/>
  </conditionalFormatting>
  <conditionalFormatting sqref="G242:G244">
    <cfRule type="duplicateValues" dxfId="75" priority="73" stopIfTrue="1"/>
    <cfRule type="duplicateValues" dxfId="74" priority="72" stopIfTrue="1"/>
    <cfRule type="duplicateValues" dxfId="73" priority="71" stopIfTrue="1"/>
  </conditionalFormatting>
  <conditionalFormatting sqref="G248:G259">
    <cfRule type="duplicateValues" dxfId="72" priority="70" stopIfTrue="1"/>
    <cfRule type="duplicateValues" dxfId="71" priority="69" stopIfTrue="1"/>
    <cfRule type="duplicateValues" dxfId="70" priority="68" stopIfTrue="1"/>
  </conditionalFormatting>
  <conditionalFormatting sqref="G272:G275">
    <cfRule type="duplicateValues" dxfId="69" priority="67" stopIfTrue="1"/>
    <cfRule type="duplicateValues" dxfId="68" priority="66" stopIfTrue="1"/>
    <cfRule type="duplicateValues" dxfId="67" priority="65" stopIfTrue="1"/>
  </conditionalFormatting>
  <conditionalFormatting sqref="G280:G282">
    <cfRule type="duplicateValues" dxfId="66" priority="64" stopIfTrue="1"/>
    <cfRule type="duplicateValues" dxfId="65" priority="63" stopIfTrue="1"/>
    <cfRule type="duplicateValues" dxfId="64" priority="62" stopIfTrue="1"/>
  </conditionalFormatting>
  <conditionalFormatting sqref="G286:G288">
    <cfRule type="duplicateValues" dxfId="63" priority="59" stopIfTrue="1"/>
    <cfRule type="duplicateValues" dxfId="62" priority="60" stopIfTrue="1"/>
    <cfRule type="duplicateValues" dxfId="61" priority="61" stopIfTrue="1"/>
  </conditionalFormatting>
  <conditionalFormatting sqref="G292:G293">
    <cfRule type="duplicateValues" dxfId="60" priority="56" stopIfTrue="1"/>
    <cfRule type="duplicateValues" dxfId="59" priority="58" stopIfTrue="1"/>
    <cfRule type="duplicateValues" dxfId="58" priority="57" stopIfTrue="1"/>
  </conditionalFormatting>
  <conditionalFormatting sqref="G295">
    <cfRule type="duplicateValues" dxfId="57" priority="15" stopIfTrue="1"/>
    <cfRule type="duplicateValues" dxfId="56" priority="16" stopIfTrue="1"/>
    <cfRule type="duplicateValues" dxfId="55" priority="14" stopIfTrue="1"/>
  </conditionalFormatting>
  <conditionalFormatting sqref="G296">
    <cfRule type="duplicateValues" dxfId="54" priority="13" stopIfTrue="1"/>
    <cfRule type="duplicateValues" dxfId="53" priority="12" stopIfTrue="1"/>
    <cfRule type="duplicateValues" dxfId="52" priority="11" stopIfTrue="1"/>
  </conditionalFormatting>
  <conditionalFormatting sqref="G297">
    <cfRule type="duplicateValues" dxfId="51" priority="55" stopIfTrue="1"/>
    <cfRule type="duplicateValues" dxfId="50" priority="54" stopIfTrue="1"/>
    <cfRule type="duplicateValues" dxfId="49" priority="53" stopIfTrue="1"/>
  </conditionalFormatting>
  <conditionalFormatting sqref="G298:G299">
    <cfRule type="duplicateValues" dxfId="48" priority="52" stopIfTrue="1"/>
    <cfRule type="duplicateValues" dxfId="47" priority="51" stopIfTrue="1"/>
    <cfRule type="duplicateValues" dxfId="46" priority="50" stopIfTrue="1"/>
  </conditionalFormatting>
  <conditionalFormatting sqref="G300:G301 G54:G59 G65:G69 G81:G91 G95:G97 G99 G107:G113 G117:G119 G122:G123 G126:G127 G131:G133 G137:G139 G147:G153 G157:G159 G161 G163 G175:G185 G194:G201 G210:G217 G230:G241 G245:G247 G260:G271 G276:G279 G283:G285 G289:G291 G294 G306:G309 G312:G313 G316:G317 G319">
    <cfRule type="duplicateValues" dxfId="45" priority="139" stopIfTrue="1"/>
    <cfRule type="duplicateValues" dxfId="44" priority="138" stopIfTrue="1"/>
    <cfRule type="duplicateValues" dxfId="43" priority="135" stopIfTrue="1"/>
  </conditionalFormatting>
  <conditionalFormatting sqref="G302:G305">
    <cfRule type="duplicateValues" dxfId="42" priority="49" stopIfTrue="1"/>
    <cfRule type="duplicateValues" dxfId="41" priority="48" stopIfTrue="1"/>
    <cfRule type="duplicateValues" dxfId="40" priority="47" stopIfTrue="1"/>
  </conditionalFormatting>
  <conditionalFormatting sqref="G310:G311">
    <cfRule type="duplicateValues" dxfId="39" priority="46" stopIfTrue="1"/>
    <cfRule type="duplicateValues" dxfId="38" priority="45" stopIfTrue="1"/>
    <cfRule type="duplicateValues" dxfId="37" priority="44" stopIfTrue="1"/>
  </conditionalFormatting>
  <conditionalFormatting sqref="G314:G315">
    <cfRule type="duplicateValues" dxfId="36" priority="43" stopIfTrue="1"/>
    <cfRule type="duplicateValues" dxfId="35" priority="42" stopIfTrue="1"/>
    <cfRule type="duplicateValues" dxfId="34" priority="41" stopIfTrue="1"/>
  </conditionalFormatting>
  <conditionalFormatting sqref="G318">
    <cfRule type="duplicateValues" dxfId="33" priority="40" stopIfTrue="1"/>
    <cfRule type="duplicateValues" dxfId="32" priority="39" stopIfTrue="1"/>
    <cfRule type="duplicateValues" dxfId="31" priority="38" stopIfTrue="1"/>
  </conditionalFormatting>
  <conditionalFormatting sqref="G320">
    <cfRule type="duplicateValues" dxfId="30" priority="32" stopIfTrue="1"/>
    <cfRule type="duplicateValues" dxfId="29" priority="31" stopIfTrue="1"/>
    <cfRule type="duplicateValues" dxfId="28" priority="30" stopIfTrue="1"/>
    <cfRule type="duplicateValues" dxfId="27" priority="29" stopIfTrue="1"/>
    <cfRule type="duplicateValues" dxfId="26" priority="28" stopIfTrue="1"/>
  </conditionalFormatting>
  <conditionalFormatting sqref="G321">
    <cfRule type="duplicateValues" dxfId="25" priority="35" stopIfTrue="1"/>
    <cfRule type="duplicateValues" dxfId="24" priority="34" stopIfTrue="1"/>
  </conditionalFormatting>
  <conditionalFormatting sqref="G322">
    <cfRule type="duplicateValues" dxfId="23" priority="10" stopIfTrue="1"/>
    <cfRule type="duplicateValues" dxfId="22" priority="9" stopIfTrue="1"/>
    <cfRule type="duplicateValues" dxfId="21" priority="8" stopIfTrue="1"/>
  </conditionalFormatting>
  <conditionalFormatting sqref="G323">
    <cfRule type="duplicateValues" dxfId="20" priority="27" stopIfTrue="1"/>
    <cfRule type="duplicateValues" dxfId="19" priority="26" stopIfTrue="1"/>
    <cfRule type="duplicateValues" dxfId="18" priority="25" stopIfTrue="1"/>
    <cfRule type="duplicateValues" dxfId="17" priority="24" stopIfTrue="1"/>
    <cfRule type="duplicateValues" dxfId="16" priority="23" stopIfTrue="1"/>
  </conditionalFormatting>
  <conditionalFormatting sqref="G324:G329">
    <cfRule type="duplicateValues" dxfId="15" priority="21" stopIfTrue="1"/>
    <cfRule type="duplicateValues" dxfId="14" priority="22" stopIfTrue="1"/>
    <cfRule type="duplicateValues" dxfId="13" priority="20" stopIfTrue="1"/>
  </conditionalFormatting>
  <conditionalFormatting sqref="G330:G335 G321 G339:G341">
    <cfRule type="duplicateValues" dxfId="12" priority="36" stopIfTrue="1"/>
    <cfRule type="duplicateValues" dxfId="11" priority="33" stopIfTrue="1"/>
    <cfRule type="duplicateValues" dxfId="10" priority="37" stopIfTrue="1"/>
  </conditionalFormatting>
  <conditionalFormatting sqref="G336:G338">
    <cfRule type="duplicateValues" dxfId="9" priority="18" stopIfTrue="1"/>
    <cfRule type="duplicateValues" dxfId="8" priority="17" stopIfTrue="1"/>
    <cfRule type="duplicateValues" dxfId="7" priority="19" stopIfTrue="1"/>
  </conditionalFormatting>
  <conditionalFormatting sqref="G342:G343">
    <cfRule type="duplicateValues" dxfId="6" priority="5" stopIfTrue="1"/>
    <cfRule type="duplicateValues" dxfId="5" priority="4" stopIfTrue="1"/>
    <cfRule type="duplicateValues" dxfId="4" priority="7" stopIfTrue="1"/>
    <cfRule type="duplicateValues" dxfId="3" priority="3" stopIfTrue="1"/>
    <cfRule type="duplicateValues" dxfId="2" priority="6" stopIfTrue="1"/>
  </conditionalFormatting>
  <conditionalFormatting sqref="H342:H343">
    <cfRule type="duplicateValues" dxfId="1" priority="2" stopIfTrue="1"/>
    <cfRule type="duplicateValues" dxfId="0" priority="1" stopIfTrue="1"/>
  </conditionalFormatting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Jeffrey Hu 胡資誠</cp:lastModifiedBy>
  <dcterms:created xsi:type="dcterms:W3CDTF">2026-09-29T03:23:11Z</dcterms:created>
  <dcterms:modified xsi:type="dcterms:W3CDTF">2026-10-22T01:51:46Z</dcterms:modified>
</cp:coreProperties>
</file>